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107543\Downloads\"/>
    </mc:Choice>
  </mc:AlternateContent>
  <xr:revisionPtr revIDLastSave="0" documentId="13_ncr:1_{CF4D48C5-83BF-4601-BD17-1B2BF8ACB8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per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I44" i="1"/>
  <c r="I43" i="1"/>
  <c r="I42" i="1"/>
  <c r="I41" i="1"/>
  <c r="I40" i="1"/>
  <c r="I38" i="1"/>
  <c r="I37" i="1"/>
  <c r="I36" i="1"/>
  <c r="I35" i="1"/>
  <c r="I32" i="1"/>
  <c r="I31" i="1"/>
  <c r="I29" i="1"/>
  <c r="I28" i="1"/>
  <c r="I27" i="1"/>
  <c r="I26" i="1"/>
  <c r="I25" i="1"/>
  <c r="I24" i="1"/>
  <c r="I22" i="1"/>
  <c r="I21" i="1"/>
  <c r="I20" i="1"/>
  <c r="I19" i="1"/>
  <c r="I18" i="1"/>
  <c r="I17" i="1"/>
  <c r="I15" i="1"/>
  <c r="I14" i="1"/>
  <c r="I13" i="1"/>
  <c r="I12" i="1"/>
  <c r="I11" i="1"/>
  <c r="I10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<sst xmlns="http://schemas.openxmlformats.org/spreadsheetml/2006/main" count="368" uniqueCount="125">
  <si>
    <t>#</t>
  </si>
  <si>
    <t>Case</t>
  </si>
  <si>
    <t>Method</t>
  </si>
  <si>
    <t>Backend / target</t>
  </si>
  <si>
    <t>q</t>
  </si>
  <si>
    <t>nu</t>
  </si>
  <si>
    <t>A</t>
  </si>
  <si>
    <t>cfl</t>
  </si>
  <si>
    <t>Shock %</t>
  </si>
  <si>
    <t>Shots</t>
  </si>
  <si>
    <t>Bond dim</t>
  </si>
  <si>
    <t>Phi modes</t>
  </si>
  <si>
    <t>In-segment k</t>
  </si>
  <si>
    <t>Segments</t>
  </si>
  <si>
    <t>Mitigation</t>
  </si>
  <si>
    <t>Paper ref</t>
  </si>
  <si>
    <t>L2 (RMS vs FTCS 800)</t>
  </si>
  <si>
    <t>L2 (rel vs FTCS 800)</t>
  </si>
  <si>
    <t>q (actual)</t>
  </si>
  <si>
    <t>circuit depth</t>
  </si>
  <si>
    <t>gate s</t>
  </si>
  <si>
    <t>2-qubit gates</t>
  </si>
  <si>
    <t>classical host</t>
  </si>
  <si>
    <t>user</t>
  </si>
  <si>
    <t>construct s</t>
  </si>
  <si>
    <t>transpile s</t>
  </si>
  <si>
    <t>execute s</t>
  </si>
  <si>
    <t>wall s</t>
  </si>
  <si>
    <t>Notes</t>
  </si>
  <si>
    <t>results/ dir</t>
  </si>
  <si>
    <t>Fig. 1: CH vs. QLBM / QALB</t>
  </si>
  <si>
    <t>ab-q4/burgers_ab_mutual_q4_nu030.toml</t>
  </si>
  <si>
    <t>CH</t>
  </si>
  <si>
    <t>IBM Aer sim</t>
  </si>
  <si>
    <t>~30%</t>
  </si>
  <si>
    <t>Fig. 1</t>
  </si>
  <si>
    <t>Mac</t>
  </si>
  <si>
    <t>agallojr</t>
  </si>
  <si>
    <t>burgers-ch-lbm-June2026/local-mac/q4/burgers_ab_mutual_q4_nu030/ddbc6df6</t>
  </si>
  <si>
    <t>ab-q6/burgers_ab_mutual_q6_nu030.toml</t>
  </si>
  <si>
    <t>burgers-ch-lbm-June2026/local-mac/q6/burgers_ab_mutual_q6_nu030/92fc1ac8</t>
  </si>
  <si>
    <t>ab-q8/burgers_ab_mutual_q8_nu030.toml</t>
  </si>
  <si>
    <t>AWS</t>
  </si>
  <si>
    <t>ishangore</t>
  </si>
  <si>
    <t>burgers-ch-lbm-June2026/burgers_ab/burgers_ab_mutual_q8_nu030/2026-06-17/_3b2adb3c/3246dc9c</t>
  </si>
  <si>
    <t>QLBM / QALB</t>
  </si>
  <si>
    <t>n/a</t>
  </si>
  <si>
    <t xml:space="preserve"> </t>
  </si>
  <si>
    <t>burgers-ch-lbm-June2026/local-mac/q4/burgers_ab_mutual_q4_nu030/2b7e72c1</t>
  </si>
  <si>
    <t>burgers-ch-lbm-June2026/local-mac/q6/burgers_ab_mutual_q6_nu030/ce29cbe4</t>
  </si>
  <si>
    <t>burgers-ch-lbm-June2026/burgers_ab/burgers_ab_mutual_q8_nu030/2026-06-17/_3b2adb3c/480d037d</t>
  </si>
  <si>
    <t>M1: another case, no figure, paper mentions</t>
  </si>
  <si>
    <t>ab-q4/burgers_ab_show_q4_qlbm_margin.toml</t>
  </si>
  <si>
    <t>~50%</t>
  </si>
  <si>
    <t>Sec IV</t>
  </si>
  <si>
    <t>burgers-ch-lbm-June2026/local-mac/q4/burgers_ab_show_q4_qlbm_margin/3d09f09b</t>
  </si>
  <si>
    <t>ab-q6/burgers_ab_show_q6_qlbm_margin.toml</t>
  </si>
  <si>
    <t>burgers-ch-lbm-June2026/local-mac/q6/burgers_ab_show_q6_qlbm_margin/7b4868ec</t>
  </si>
  <si>
    <t>ab-q8/burgers_ab_show_q8_qlbm_margin.toml</t>
  </si>
  <si>
    <t>burgers-ch-lbm-June2026/burgers_ab/burgers_ab_show_q8_qlbm_margin/2026-06-17/_ff5c043d/5d2b518c</t>
  </si>
  <si>
    <t>burgers-ch-lbm-June2026/local-mac/q4/burgers_ab_show_q4_qlbm_margin/fa54540f</t>
  </si>
  <si>
    <t>burgers-ch-lbm-June2026/local-mac/q6/burgers_ab_show_q6_qlbm_margin/19c4e1f5</t>
  </si>
  <si>
    <t>burgers-ch-lbm-June2026/burgers_ab/burgers_ab_show_q8_qlbm_margin/2026-06-17/_ff5c043d/b746c4ef</t>
  </si>
  <si>
    <t>M2: another case, no figure, paper mentions</t>
  </si>
  <si>
    <t>ab-q4/burgers_ab_shock_q4.toml</t>
  </si>
  <si>
    <t>~90%</t>
  </si>
  <si>
    <t>burgers-ch-lbm-June2026/local-mac/q4/burgers_ab_shock_q4/7ec8cce4</t>
  </si>
  <si>
    <t>ab-q6/burgers_ab_shock_q6.toml</t>
  </si>
  <si>
    <t>burgers-ch-lbm-June2026/local-mac/q6/burgers_ab_shock_q6/616e481d</t>
  </si>
  <si>
    <t>ab-q8/burgers_ab_shock_q8.toml</t>
  </si>
  <si>
    <t>burgers-ch-lbm-June2026/burgers_ab/burgers_ab_shock_q8/2026-06-17/_9591f865/0dbb1eac</t>
  </si>
  <si>
    <t>burgers-ch-lbm-June2026/local-mac/q4/burgers_ab_shock_q4/550f8a22</t>
  </si>
  <si>
    <t>burgers-ch-lbm-June2026/local-mac/q6/burgers_ab_shock_q6/02c8c0a9</t>
  </si>
  <si>
    <t>burgers-ch-lbm-June2026/burgers_ab/burgers_ab_shock_q8/2026-06-17/_9591f865/d0db29d8</t>
  </si>
  <si>
    <t>Fig. 2 - CH on real QC</t>
  </si>
  <si>
    <t>ch-q4-hw/burgers_ch_hw_smooth.toml</t>
  </si>
  <si>
    <t>ibm_kingston (Heron R2)</t>
  </si>
  <si>
    <t>~6%</t>
  </si>
  <si>
    <t>TREX+DD</t>
  </si>
  <si>
    <t>Fig. 2</t>
  </si>
  <si>
    <t>Win laptop</t>
  </si>
  <si>
    <t>melvi</t>
  </si>
  <si>
    <t>burgers-ch-lbm-June2026/real-qc/hardware_runs/smooth_movie_kingston</t>
  </si>
  <si>
    <t>ibm_fez (Heron R2)</t>
  </si>
  <si>
    <t>burgers-ch-lbm-June2026/real-qc/hardware_runs/smooth_movie_fez</t>
  </si>
  <si>
    <t>ibm_boston (Heron R3)</t>
  </si>
  <si>
    <t>burgers-ch-lbm-June2026/real-qc/hardware_runs/smooth_movie_boston</t>
  </si>
  <si>
    <t>ibm_miami (Nighthawk R1)</t>
  </si>
  <si>
    <t>burgers-ch-lbm-June2026/real-qc/hardware_runs/smooth_movie_miami</t>
  </si>
  <si>
    <t>burgers_smooth_movie_sim.toml</t>
  </si>
  <si>
    <t>burgers-ch-lbm-June2026/local-mac/q3/burgers_smooth_movie_sim/d2ec49ec</t>
  </si>
  <si>
    <t>burgers-ch-lbm-June2026/local-mac/q3/burgers_smooth_movie_sim/cd872d62</t>
  </si>
  <si>
    <t>C0: Single time segment, k=512 internal steps</t>
  </si>
  <si>
    <t>C0 sv_floor · shots=0</t>
  </si>
  <si>
    <t>IBM Aer sim (OLCF Frontier)</t>
  </si>
  <si>
    <t>post-paper</t>
  </si>
  <si>
    <t>Frontier</t>
  </si>
  <si>
    <t>burgers-ch-lbm/ch_q8_c0/2026-08-06/_a66942a3/1f33d059</t>
  </si>
  <si>
    <t>C0 sv_floor · shots=131072</t>
  </si>
  <si>
    <t>TIMED OUT on Frontier</t>
  </si>
  <si>
    <t>burgers-ch-lbm/ch_q8_c0/2026-08-06/_a66942a3/b434e188</t>
  </si>
  <si>
    <t>C1: CH segment vs k seam study</t>
  </si>
  <si>
    <t>C1 seam · k=2</t>
  </si>
  <si>
    <t>IBM Aer sim (AWS EC2)</t>
  </si>
  <si>
    <t>burgers-ch-lbm/ch_q8_c1/2026-08-11/_b5c8743c/2a3cbfeb</t>
  </si>
  <si>
    <t>C1 seam · k=4</t>
  </si>
  <si>
    <t>burgers-ch-lbm/ch_q8_c1/2026-08-11/_b5c8743c/b15a9654</t>
  </si>
  <si>
    <t>C1 seam · k=8</t>
  </si>
  <si>
    <t>burgers-ch-lbm/ch_q8_c1/2026-08-11/_b5c8743c/39a1f5ab</t>
  </si>
  <si>
    <t>C1 seam · k=16</t>
  </si>
  <si>
    <t>burgers-ch-lbm/ch_q8_c1/2026-08-11/_b5c8743c/fe96b52e</t>
  </si>
  <si>
    <t>C2: CH shots study</t>
  </si>
  <si>
    <t>C2 shots-ladder · shots=16384</t>
  </si>
  <si>
    <t>burgers-ch-lbm/ch_q8_c2_k8/2026-08-12/_6fade974/c1e5d7e4</t>
  </si>
  <si>
    <t>C2 shots-ladder · shots=65536</t>
  </si>
  <si>
    <t>burgers-ch-lbm/ch_q8_c2_k8/2026-08-12/_6fade974/00e609d3</t>
  </si>
  <si>
    <t>C2 shots-ladder · shots=131072</t>
  </si>
  <si>
    <t>burgers-ch-lbm/ch_q8_c2_k8/2026-08-12/_6fade974/1cc667ab</t>
  </si>
  <si>
    <t>C2 shots-ladder · shots=524288</t>
  </si>
  <si>
    <t>burgers-ch-lbm/ch_q8_c2_k8/2026-08-12/_6fade974/3dcb7c60</t>
  </si>
  <si>
    <t>C2 shots-ladder · shots=1048576</t>
  </si>
  <si>
    <t>burgers-ch-lbm/ch_q8_c2_k8/2026-08-12/_6fade974/70416813</t>
  </si>
  <si>
    <t>steps</t>
  </si>
  <si>
    <t>Rerun of above run</t>
  </si>
  <si>
    <t>burgers-ch-lbm/ch_q8_c0/2026-08-28/_2c04f665/89d9be42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</si>
</sst>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name val="Aptos Narrow"/>
    </font>
    <font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1" xfId="0" applyBorder="1"/>
    <xf numFmtId="0" fontId="1" fillId="2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0" borderId="1" xfId="0" applyBorder="1" applyAlignment="1">
      <alignment wrapText="1"/>
    </xf>
    <xf numFmtId="3" fontId="0" fillId="3" borderId="1" xfId="0" applyNumberFormat="1" applyFill="1" applyBorder="1"/>
    <xf numFmtId="3" fontId="0" fillId="4" borderId="1" xfId="0" applyNumberFormat="1" applyFill="1" applyBorder="1"/>
    <xf numFmtId="3" fontId="0" fillId="6" borderId="1" xfId="0" applyNumberFormat="1" applyFill="1" applyBorder="1"/>
    <xf numFmtId="3" fontId="0" fillId="5" borderId="1" xfId="0" applyNumberFormat="1" applyFill="1" applyBorder="1"/>
    <xf numFmtId="3" fontId="0" fillId="7" borderId="1" xfId="0" applyNumberFormat="1" applyFill="1" applyBorder="1"/>
    <xf numFmtId="3" fontId="0" fillId="8" borderId="1" xfId="0" applyNumberFormat="1" applyFill="1" applyBorder="1"/>
    <xf numFmtId="3" fontId="0" fillId="9" borderId="1" xfId="0" applyNumberFormat="1" applyFill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right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8" borderId="1" xfId="0" applyFont="1" applyFill="1" applyBorder="1"/>
    <xf numFmtId="0" fontId="3" fillId="8" borderId="1" xfId="0" applyFont="1" applyFill="1" applyBorder="1"/>
    <xf numFmtId="0" fontId="1" fillId="8" borderId="1" xfId="0" applyFont="1" applyFill="1" applyBorder="1" applyAlignment="1">
      <alignment horizontal="center"/>
    </xf>
    <xf numFmtId="3" fontId="1" fillId="8" borderId="1" xfId="0" applyNumberFormat="1" applyFont="1" applyFill="1" applyBorder="1"/>
    <xf numFmtId="0" fontId="1" fillId="9" borderId="1" xfId="0" applyFont="1" applyFill="1" applyBorder="1"/>
    <xf numFmtId="0" fontId="3" fillId="9" borderId="1" xfId="0" applyFont="1" applyFill="1" applyBorder="1"/>
    <xf numFmtId="0" fontId="1" fillId="9" borderId="1" xfId="0" applyFont="1" applyFill="1" applyBorder="1" applyAlignment="1">
      <alignment horizontal="center"/>
    </xf>
    <xf numFmtId="3" fontId="1" fillId="9" borderId="1" xfId="0" applyNumberFormat="1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3" fontId="1" fillId="7" borderId="1" xfId="0" applyNumberFormat="1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3" fontId="1" fillId="5" borderId="1" xfId="0" applyNumberFormat="1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/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3" fontId="1" fillId="12" borderId="1" xfId="0" applyNumberFormat="1" applyFont="1" applyFill="1" applyBorder="1"/>
    <xf numFmtId="0" fontId="0" fillId="6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12" borderId="1" xfId="0" applyFill="1" applyBorder="1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49" fontId="1" fillId="4" borderId="1" xfId="0" applyNumberFormat="1" applyFont="1" applyFill="1" applyBorder="1"/>
    <xf numFmtId="49" fontId="0" fillId="4" borderId="1" xfId="0" applyNumberFormat="1" applyFill="1" applyBorder="1"/>
    <xf numFmtId="49" fontId="1" fillId="12" borderId="1" xfId="0" applyNumberFormat="1" applyFont="1" applyFill="1" applyBorder="1"/>
    <xf numFmtId="49" fontId="0" fillId="12" borderId="1" xfId="0" applyNumberFormat="1" applyFill="1" applyBorder="1"/>
    <xf numFmtId="49" fontId="1" fillId="5" borderId="1" xfId="0" applyNumberFormat="1" applyFont="1" applyFill="1" applyBorder="1"/>
    <xf numFmtId="49" fontId="0" fillId="5" borderId="1" xfId="0" applyNumberFormat="1" applyFill="1" applyBorder="1"/>
    <xf numFmtId="49" fontId="1" fillId="7" borderId="1" xfId="0" applyNumberFormat="1" applyFont="1" applyFill="1" applyBorder="1"/>
    <xf numFmtId="49" fontId="0" fillId="7" borderId="1" xfId="0" applyNumberFormat="1" applyFill="1" applyBorder="1"/>
    <xf numFmtId="49" fontId="1" fillId="8" borderId="1" xfId="0" applyNumberFormat="1" applyFont="1" applyFill="1" applyBorder="1"/>
    <xf numFmtId="49" fontId="0" fillId="8" borderId="1" xfId="0" applyNumberFormat="1" applyFill="1" applyBorder="1"/>
    <xf numFmtId="49" fontId="1" fillId="9" borderId="1" xfId="0" applyNumberFormat="1" applyFont="1" applyFill="1" applyBorder="1"/>
    <xf numFmtId="49" fontId="0" fillId="9" borderId="1" xfId="0" applyNumberFormat="1" applyFill="1" applyBorder="1"/>
    <xf numFmtId="49" fontId="0" fillId="0" borderId="1" xfId="0" applyNumberFormat="1" applyBorder="1"/>
    <xf numFmtId="0" fontId="4" fillId="4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64" fontId="0" fillId="3" borderId="1" xfId="0" applyNumberFormat="1" applyFill="1" applyBorder="1"/>
    <xf numFmtId="164" fontId="1" fillId="4" borderId="1" xfId="0" applyNumberFormat="1" applyFont="1" applyFill="1" applyBorder="1"/>
    <xf numFmtId="164" fontId="0" fillId="4" borderId="1" xfId="0" applyNumberFormat="1" applyFill="1" applyBorder="1"/>
    <xf numFmtId="164" fontId="1" fillId="12" borderId="1" xfId="0" applyNumberFormat="1" applyFont="1" applyFill="1" applyBorder="1"/>
    <xf numFmtId="164" fontId="0" fillId="12" borderId="1" xfId="0" applyNumberFormat="1" applyFill="1" applyBorder="1"/>
    <xf numFmtId="164" fontId="1" fillId="5" borderId="1" xfId="0" applyNumberFormat="1" applyFont="1" applyFill="1" applyBorder="1"/>
    <xf numFmtId="164" fontId="0" fillId="5" borderId="1" xfId="0" applyNumberFormat="1" applyFill="1" applyBorder="1"/>
    <xf numFmtId="164" fontId="1" fillId="7" borderId="1" xfId="0" applyNumberFormat="1" applyFont="1" applyFill="1" applyBorder="1"/>
    <xf numFmtId="164" fontId="0" fillId="7" borderId="1" xfId="0" applyNumberFormat="1" applyFill="1" applyBorder="1"/>
    <xf numFmtId="164" fontId="0" fillId="7" borderId="1" xfId="0" applyNumberForma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/>
    <xf numFmtId="164" fontId="0" fillId="8" borderId="1" xfId="0" applyNumberFormat="1" applyFill="1" applyBorder="1"/>
    <xf numFmtId="164" fontId="1" fillId="9" borderId="1" xfId="0" applyNumberFormat="1" applyFont="1" applyFill="1" applyBorder="1"/>
    <xf numFmtId="164" fontId="0" fillId="9" borderId="1" xfId="0" applyNumberFormat="1" applyFill="1" applyBorder="1"/>
    <xf numFmtId="164" fontId="0" fillId="0" borderId="1" xfId="0" applyNumberFormat="1" applyBorder="1"/>
    <xf numFmtId="164" fontId="0" fillId="0" borderId="1" xfId="0" applyNumberFormat="1" applyBorder="1" applyAlignment="1">
      <alignment wrapText="1"/>
    </xf>
    <xf numFmtId="164" fontId="1" fillId="10" borderId="1" xfId="0" applyNumberFormat="1" applyFont="1" applyFill="1" applyBorder="1" applyAlignment="1">
      <alignment horizontal="center"/>
    </xf>
    <xf numFmtId="164" fontId="1" fillId="10" borderId="1" xfId="0" applyNumberFormat="1" applyFont="1" applyFill="1" applyBorder="1"/>
    <xf numFmtId="49" fontId="0" fillId="7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"/>
  <sheetViews>
    <sheetView tabSelected="1" topLeftCell="W1" workbookViewId="0">
      <pane ySplit="1" topLeftCell="A23" activePane="bottomLeft" state="frozen"/>
      <selection pane="bottomLeft" activeCell="S33" sqref="S33"/>
    </sheetView>
  </sheetViews>
  <sheetFormatPr defaultColWidth="10.796875" defaultRowHeight="15.6" x14ac:dyDescent="0.3"/>
  <cols>
    <col min="1" max="1" width="4.19921875" style="8" customWidth="1"/>
    <col min="2" max="2" width="39.296875" style="8" bestFit="1" customWidth="1"/>
    <col min="3" max="3" width="16.296875" style="8" customWidth="1"/>
    <col min="4" max="4" width="24" style="8" customWidth="1"/>
    <col min="5" max="5" width="4.69921875" style="8" customWidth="1"/>
    <col min="6" max="6" width="9" style="8" customWidth="1"/>
    <col min="7" max="7" width="7" style="8" customWidth="1"/>
    <col min="8" max="9" width="5.69921875" style="8" customWidth="1"/>
    <col min="10" max="10" width="9.5" style="30" customWidth="1"/>
    <col min="11" max="11" width="11.5" style="21" customWidth="1"/>
    <col min="12" max="12" width="9" style="8" customWidth="1"/>
    <col min="13" max="13" width="9.296875" style="8" customWidth="1"/>
    <col min="14" max="14" width="12" style="8" customWidth="1"/>
    <col min="15" max="15" width="9.69921875" style="8" customWidth="1"/>
    <col min="16" max="16" width="10.69921875" style="30" customWidth="1"/>
    <col min="17" max="17" width="11.19921875" style="30" customWidth="1"/>
    <col min="18" max="18" width="18.796875" style="96" customWidth="1"/>
    <col min="19" max="19" width="18.5" style="97" customWidth="1"/>
    <col min="20" max="20" width="10.19921875" style="13" customWidth="1"/>
    <col min="21" max="21" width="11.796875" style="13" customWidth="1"/>
    <col min="22" max="23" width="11.5" style="13" customWidth="1"/>
    <col min="24" max="24" width="13.19921875" style="8" customWidth="1"/>
    <col min="25" max="25" width="10.5" style="77" customWidth="1"/>
    <col min="26" max="28" width="10.796875" style="8" customWidth="1"/>
    <col min="29" max="29" width="11.19921875" style="8" customWidth="1"/>
    <col min="30" max="30" width="19.296875" style="8" bestFit="1" customWidth="1"/>
    <col min="31" max="31" width="89.5" style="8" bestFit="1" customWidth="1"/>
    <col min="32" max="32" width="10.796875" style="8" customWidth="1"/>
    <col min="33" max="16384" width="10.796875" style="8"/>
  </cols>
  <sheetData>
    <row r="1" spans="1:31" s="9" customFormat="1" ht="16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122</v>
      </c>
      <c r="J1" s="22" t="s">
        <v>8</v>
      </c>
      <c r="K1" s="31" t="s">
        <v>9</v>
      </c>
      <c r="L1" s="33" t="s">
        <v>10</v>
      </c>
      <c r="M1" s="33" t="s">
        <v>11</v>
      </c>
      <c r="N1" s="34" t="s">
        <v>12</v>
      </c>
      <c r="O1" s="34" t="s">
        <v>13</v>
      </c>
      <c r="P1" s="22" t="s">
        <v>14</v>
      </c>
      <c r="Q1" s="22" t="s">
        <v>15</v>
      </c>
      <c r="R1" s="98" t="s">
        <v>16</v>
      </c>
      <c r="S1" s="99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62" t="s">
        <v>29</v>
      </c>
    </row>
    <row r="2" spans="1:31" s="49" customFormat="1" x14ac:dyDescent="0.3">
      <c r="B2" s="49" t="s">
        <v>30</v>
      </c>
      <c r="E2" s="50"/>
      <c r="F2" s="50"/>
      <c r="G2" s="50"/>
      <c r="H2" s="50"/>
      <c r="I2" s="50"/>
      <c r="J2" s="50"/>
      <c r="K2" s="51"/>
      <c r="L2" s="50"/>
      <c r="M2" s="50"/>
      <c r="N2" s="50"/>
      <c r="O2" s="50"/>
      <c r="P2" s="50"/>
      <c r="Q2" s="50"/>
      <c r="R2" s="79"/>
      <c r="S2" s="80"/>
      <c r="AE2" s="63"/>
    </row>
    <row r="3" spans="1:31" s="1" customFormat="1" x14ac:dyDescent="0.3">
      <c r="A3" s="1">
        <v>1</v>
      </c>
      <c r="B3" s="1" t="s">
        <v>31</v>
      </c>
      <c r="C3" s="1" t="s">
        <v>32</v>
      </c>
      <c r="D3" s="1" t="s">
        <v>33</v>
      </c>
      <c r="E3" s="1">
        <v>4</v>
      </c>
      <c r="F3" s="1">
        <v>0.03</v>
      </c>
      <c r="G3" s="1">
        <v>0.3</v>
      </c>
      <c r="H3" s="1">
        <v>0.1</v>
      </c>
      <c r="I3" s="1">
        <f>N3*O3</f>
        <v>30</v>
      </c>
      <c r="J3" s="23" t="s">
        <v>34</v>
      </c>
      <c r="K3" s="14">
        <v>150000</v>
      </c>
      <c r="L3" s="1">
        <v>8</v>
      </c>
      <c r="M3" s="1">
        <v>8</v>
      </c>
      <c r="N3" s="1">
        <v>5</v>
      </c>
      <c r="O3" s="1">
        <v>6</v>
      </c>
      <c r="P3" s="23"/>
      <c r="Q3" s="23" t="s">
        <v>35</v>
      </c>
      <c r="R3" s="81">
        <v>1.9723999999999998E-2</v>
      </c>
      <c r="S3" s="81">
        <v>0.11214721240492</v>
      </c>
      <c r="T3" s="1">
        <v>10</v>
      </c>
      <c r="U3" s="1">
        <v>3046</v>
      </c>
      <c r="V3" s="1">
        <v>3721</v>
      </c>
      <c r="W3" s="1">
        <v>1006</v>
      </c>
      <c r="X3" s="1" t="s">
        <v>36</v>
      </c>
      <c r="Y3" s="1" t="s">
        <v>37</v>
      </c>
      <c r="Z3" s="1">
        <v>0.03</v>
      </c>
      <c r="AA3" s="1">
        <v>0.13</v>
      </c>
      <c r="AB3" s="1">
        <v>60.02</v>
      </c>
      <c r="AC3" s="1">
        <v>126.25</v>
      </c>
      <c r="AE3" s="64" t="s">
        <v>38</v>
      </c>
    </row>
    <row r="4" spans="1:31" s="1" customFormat="1" x14ac:dyDescent="0.3">
      <c r="A4" s="1">
        <v>2</v>
      </c>
      <c r="B4" s="1" t="s">
        <v>39</v>
      </c>
      <c r="C4" s="1" t="s">
        <v>32</v>
      </c>
      <c r="D4" s="1" t="s">
        <v>33</v>
      </c>
      <c r="E4" s="1">
        <v>6</v>
      </c>
      <c r="F4" s="1">
        <v>0.03</v>
      </c>
      <c r="G4" s="1">
        <v>0.3</v>
      </c>
      <c r="H4" s="1">
        <v>0.1</v>
      </c>
      <c r="I4" s="1">
        <f t="shared" ref="I4:I8" si="0">N4*O4</f>
        <v>100</v>
      </c>
      <c r="J4" s="23" t="s">
        <v>34</v>
      </c>
      <c r="K4" s="14">
        <v>150000</v>
      </c>
      <c r="L4" s="1">
        <v>8</v>
      </c>
      <c r="M4" s="1">
        <v>8</v>
      </c>
      <c r="N4" s="1">
        <v>5</v>
      </c>
      <c r="O4" s="1">
        <v>20</v>
      </c>
      <c r="P4" s="23"/>
      <c r="Q4" s="23" t="s">
        <v>35</v>
      </c>
      <c r="R4" s="81">
        <v>5.1276000000000002E-2</v>
      </c>
      <c r="S4" s="81">
        <v>0.29152899999999998</v>
      </c>
      <c r="T4" s="1">
        <v>14</v>
      </c>
      <c r="U4" s="1">
        <v>16602</v>
      </c>
      <c r="V4" s="1">
        <v>21800</v>
      </c>
      <c r="W4" s="1">
        <v>6628</v>
      </c>
      <c r="X4" s="1" t="s">
        <v>36</v>
      </c>
      <c r="Y4" s="1" t="s">
        <v>37</v>
      </c>
      <c r="Z4" s="1">
        <v>0.63</v>
      </c>
      <c r="AA4" s="1">
        <v>0.62</v>
      </c>
      <c r="AB4" s="1">
        <v>1.84</v>
      </c>
      <c r="AC4" s="1">
        <v>9.0399999999999991</v>
      </c>
      <c r="AE4" s="64" t="s">
        <v>40</v>
      </c>
    </row>
    <row r="5" spans="1:31" s="1" customFormat="1" x14ac:dyDescent="0.3">
      <c r="A5" s="1">
        <v>3</v>
      </c>
      <c r="B5" s="1" t="s">
        <v>41</v>
      </c>
      <c r="C5" s="1" t="s">
        <v>32</v>
      </c>
      <c r="D5" s="1" t="s">
        <v>33</v>
      </c>
      <c r="E5" s="1">
        <v>8</v>
      </c>
      <c r="F5" s="1">
        <v>0.03</v>
      </c>
      <c r="G5" s="1">
        <v>0.3</v>
      </c>
      <c r="H5" s="1">
        <v>0.1</v>
      </c>
      <c r="I5" s="1">
        <f t="shared" si="0"/>
        <v>400</v>
      </c>
      <c r="J5" s="23" t="s">
        <v>34</v>
      </c>
      <c r="K5" s="14">
        <v>150000</v>
      </c>
      <c r="L5" s="1">
        <v>16</v>
      </c>
      <c r="M5" s="1">
        <v>8</v>
      </c>
      <c r="N5" s="1">
        <v>5</v>
      </c>
      <c r="O5" s="1">
        <v>80</v>
      </c>
      <c r="P5" s="23"/>
      <c r="Q5" s="23" t="s">
        <v>35</v>
      </c>
      <c r="R5" s="81">
        <v>0.28409899999999999</v>
      </c>
      <c r="S5" s="81">
        <v>1.6153379999999999</v>
      </c>
      <c r="T5" s="1">
        <v>17</v>
      </c>
      <c r="U5" s="1">
        <v>84156</v>
      </c>
      <c r="V5" s="1">
        <v>117435</v>
      </c>
      <c r="W5" s="1">
        <v>40272</v>
      </c>
      <c r="X5" s="1" t="s">
        <v>42</v>
      </c>
      <c r="Y5" s="1" t="s">
        <v>43</v>
      </c>
      <c r="Z5" s="1">
        <v>23.46</v>
      </c>
      <c r="AA5" s="1">
        <v>10.74</v>
      </c>
      <c r="AB5" s="1">
        <v>48.9</v>
      </c>
      <c r="AC5" s="1">
        <v>182.7</v>
      </c>
      <c r="AE5" s="64" t="s">
        <v>44</v>
      </c>
    </row>
    <row r="6" spans="1:31" s="1" customFormat="1" ht="16.95" customHeight="1" x14ac:dyDescent="0.3">
      <c r="A6" s="1">
        <v>4</v>
      </c>
      <c r="B6" s="1" t="s">
        <v>31</v>
      </c>
      <c r="C6" s="1" t="s">
        <v>45</v>
      </c>
      <c r="D6" s="1" t="s">
        <v>33</v>
      </c>
      <c r="E6" s="1">
        <v>4</v>
      </c>
      <c r="F6" s="1">
        <v>0.03</v>
      </c>
      <c r="G6" s="1">
        <v>0.3</v>
      </c>
      <c r="H6" s="1">
        <v>0.1</v>
      </c>
      <c r="I6" s="1">
        <f t="shared" si="0"/>
        <v>30</v>
      </c>
      <c r="J6" s="23" t="s">
        <v>34</v>
      </c>
      <c r="K6" s="14">
        <v>150000</v>
      </c>
      <c r="L6" s="60" t="s">
        <v>46</v>
      </c>
      <c r="M6" s="60" t="s">
        <v>46</v>
      </c>
      <c r="N6" s="1">
        <v>1</v>
      </c>
      <c r="O6" s="1">
        <v>30</v>
      </c>
      <c r="P6" s="23"/>
      <c r="Q6" s="23" t="s">
        <v>35</v>
      </c>
      <c r="R6" s="81">
        <v>0.10970000000000001</v>
      </c>
      <c r="S6" s="81">
        <v>0.62414999999999998</v>
      </c>
      <c r="T6" s="1">
        <v>9</v>
      </c>
      <c r="U6" s="1">
        <v>432601</v>
      </c>
      <c r="V6" s="1">
        <v>708746</v>
      </c>
      <c r="W6" s="1">
        <v>119440</v>
      </c>
      <c r="X6" s="1" t="s">
        <v>36</v>
      </c>
      <c r="Y6" s="1" t="s">
        <v>37</v>
      </c>
      <c r="Z6" s="1">
        <v>0.13</v>
      </c>
      <c r="AA6" s="1">
        <v>1.65</v>
      </c>
      <c r="AB6" s="1">
        <v>2.4500000000000002</v>
      </c>
      <c r="AC6" s="1">
        <v>9.2799999999999994</v>
      </c>
      <c r="AD6" s="1" t="s">
        <v>47</v>
      </c>
      <c r="AE6" s="64" t="s">
        <v>48</v>
      </c>
    </row>
    <row r="7" spans="1:31" s="1" customFormat="1" x14ac:dyDescent="0.3">
      <c r="A7" s="1">
        <v>5</v>
      </c>
      <c r="B7" s="1" t="s">
        <v>39</v>
      </c>
      <c r="C7" s="1" t="s">
        <v>45</v>
      </c>
      <c r="D7" s="1" t="s">
        <v>33</v>
      </c>
      <c r="E7" s="1">
        <v>6</v>
      </c>
      <c r="F7" s="1">
        <v>0.03</v>
      </c>
      <c r="G7" s="1">
        <v>0.3</v>
      </c>
      <c r="H7" s="1">
        <v>0.1</v>
      </c>
      <c r="I7" s="1">
        <f t="shared" si="0"/>
        <v>100</v>
      </c>
      <c r="J7" s="23" t="s">
        <v>34</v>
      </c>
      <c r="K7" s="14">
        <v>150000</v>
      </c>
      <c r="L7" s="60" t="s">
        <v>46</v>
      </c>
      <c r="M7" s="60" t="s">
        <v>46</v>
      </c>
      <c r="N7" s="1">
        <v>1</v>
      </c>
      <c r="O7" s="1">
        <v>100</v>
      </c>
      <c r="P7" s="23"/>
      <c r="Q7" s="23" t="s">
        <v>35</v>
      </c>
      <c r="R7" s="81">
        <v>1.7159000000000001E-2</v>
      </c>
      <c r="S7" s="81">
        <v>9.7976999999999995E-2</v>
      </c>
      <c r="T7" s="1">
        <v>9</v>
      </c>
      <c r="U7" s="1">
        <v>432599</v>
      </c>
      <c r="V7" s="1">
        <v>708746</v>
      </c>
      <c r="W7" s="1">
        <v>119440</v>
      </c>
      <c r="X7" s="1" t="s">
        <v>36</v>
      </c>
      <c r="Y7" s="1" t="s">
        <v>37</v>
      </c>
      <c r="Z7" s="1">
        <v>1.67</v>
      </c>
      <c r="AA7" s="1">
        <v>22.24</v>
      </c>
      <c r="AB7" s="1">
        <v>33.630000000000003</v>
      </c>
      <c r="AC7" s="1">
        <v>62.72</v>
      </c>
      <c r="AE7" s="64" t="s">
        <v>49</v>
      </c>
    </row>
    <row r="8" spans="1:31" s="1" customFormat="1" x14ac:dyDescent="0.3">
      <c r="A8" s="1">
        <v>6</v>
      </c>
      <c r="B8" s="1" t="s">
        <v>41</v>
      </c>
      <c r="C8" s="1" t="s">
        <v>45</v>
      </c>
      <c r="D8" s="1" t="s">
        <v>33</v>
      </c>
      <c r="E8" s="1">
        <v>8</v>
      </c>
      <c r="F8" s="1">
        <v>0.03</v>
      </c>
      <c r="G8" s="1">
        <v>0.3</v>
      </c>
      <c r="H8" s="1">
        <v>0.1</v>
      </c>
      <c r="I8" s="1">
        <f t="shared" si="0"/>
        <v>400</v>
      </c>
      <c r="J8" s="23" t="s">
        <v>34</v>
      </c>
      <c r="K8" s="14">
        <v>150000</v>
      </c>
      <c r="L8" s="60" t="s">
        <v>46</v>
      </c>
      <c r="M8" s="60" t="s">
        <v>46</v>
      </c>
      <c r="N8" s="1">
        <v>1</v>
      </c>
      <c r="O8" s="1">
        <v>400</v>
      </c>
      <c r="P8" s="23"/>
      <c r="Q8" s="23" t="s">
        <v>35</v>
      </c>
      <c r="R8" s="81">
        <v>5.7592999999999998E-2</v>
      </c>
      <c r="S8" s="81">
        <v>0.327463</v>
      </c>
      <c r="T8" s="1">
        <v>9</v>
      </c>
      <c r="U8" s="1">
        <v>432576</v>
      </c>
      <c r="V8" s="1">
        <v>708725</v>
      </c>
      <c r="W8" s="1">
        <v>119440</v>
      </c>
      <c r="X8" s="1" t="s">
        <v>42</v>
      </c>
      <c r="Y8" s="1" t="s">
        <v>43</v>
      </c>
      <c r="Z8" s="1">
        <v>37.35</v>
      </c>
      <c r="AA8" s="1">
        <v>579.19000000000005</v>
      </c>
      <c r="AB8" s="1">
        <v>1084.04</v>
      </c>
      <c r="AC8" s="1">
        <v>1707.83</v>
      </c>
      <c r="AE8" s="64" t="s">
        <v>50</v>
      </c>
    </row>
    <row r="9" spans="1:31" s="52" customFormat="1" ht="16.95" customHeight="1" x14ac:dyDescent="0.3">
      <c r="B9" s="52" t="s">
        <v>51</v>
      </c>
      <c r="J9" s="53"/>
      <c r="K9" s="54"/>
      <c r="P9" s="53"/>
      <c r="Q9" s="53"/>
      <c r="R9" s="82"/>
      <c r="S9" s="82"/>
      <c r="AD9" s="78" t="s">
        <v>47</v>
      </c>
      <c r="AE9" s="65"/>
    </row>
    <row r="10" spans="1:31" s="2" customFormat="1" x14ac:dyDescent="0.3">
      <c r="A10" s="2">
        <v>7</v>
      </c>
      <c r="B10" s="2" t="s">
        <v>52</v>
      </c>
      <c r="C10" s="2" t="s">
        <v>32</v>
      </c>
      <c r="D10" s="2" t="s">
        <v>33</v>
      </c>
      <c r="E10" s="2">
        <v>4</v>
      </c>
      <c r="F10" s="2">
        <v>2.5000000000000001E-2</v>
      </c>
      <c r="G10" s="2">
        <v>0.5</v>
      </c>
      <c r="H10" s="2">
        <v>0.1</v>
      </c>
      <c r="I10" s="2">
        <f>N10*O10</f>
        <v>30</v>
      </c>
      <c r="J10" s="24" t="s">
        <v>53</v>
      </c>
      <c r="K10" s="15">
        <v>150000</v>
      </c>
      <c r="L10" s="2">
        <v>8</v>
      </c>
      <c r="M10" s="2">
        <v>8</v>
      </c>
      <c r="N10" s="2">
        <v>5</v>
      </c>
      <c r="O10" s="2">
        <v>6</v>
      </c>
      <c r="P10" s="24"/>
      <c r="Q10" s="24" t="s">
        <v>54</v>
      </c>
      <c r="R10" s="83">
        <v>2.5604999999999999E-2</v>
      </c>
      <c r="S10" s="83">
        <v>8.8009000000000004E-2</v>
      </c>
      <c r="T10" s="2">
        <v>10</v>
      </c>
      <c r="U10" s="2">
        <v>3064</v>
      </c>
      <c r="V10" s="2">
        <v>3756</v>
      </c>
      <c r="W10" s="2">
        <v>1007</v>
      </c>
      <c r="X10" s="2" t="s">
        <v>36</v>
      </c>
      <c r="Y10" s="2" t="s">
        <v>37</v>
      </c>
      <c r="Z10" s="2">
        <v>0.03</v>
      </c>
      <c r="AA10" s="2">
        <v>0.11</v>
      </c>
      <c r="AB10" s="2">
        <v>67.069999999999993</v>
      </c>
      <c r="AC10" s="2">
        <v>140.02000000000001</v>
      </c>
      <c r="AE10" s="66" t="s">
        <v>55</v>
      </c>
    </row>
    <row r="11" spans="1:31" s="2" customFormat="1" x14ac:dyDescent="0.3">
      <c r="A11" s="2">
        <v>8</v>
      </c>
      <c r="B11" s="2" t="s">
        <v>56</v>
      </c>
      <c r="C11" s="2" t="s">
        <v>32</v>
      </c>
      <c r="D11" s="2" t="s">
        <v>33</v>
      </c>
      <c r="E11" s="2">
        <v>6</v>
      </c>
      <c r="F11" s="2">
        <v>2.5000000000000001E-2</v>
      </c>
      <c r="G11" s="2">
        <v>0.5</v>
      </c>
      <c r="H11" s="2">
        <v>0.1</v>
      </c>
      <c r="I11" s="2">
        <f t="shared" ref="I11:I15" si="1">N11*O11</f>
        <v>100</v>
      </c>
      <c r="J11" s="24" t="s">
        <v>53</v>
      </c>
      <c r="K11" s="15">
        <v>150000</v>
      </c>
      <c r="L11" s="2">
        <v>8</v>
      </c>
      <c r="M11" s="2">
        <v>8</v>
      </c>
      <c r="N11" s="2">
        <v>5</v>
      </c>
      <c r="O11" s="2">
        <v>20</v>
      </c>
      <c r="P11" s="24"/>
      <c r="Q11" s="24" t="s">
        <v>54</v>
      </c>
      <c r="R11" s="83">
        <v>3.783054582066233E-2</v>
      </c>
      <c r="S11" s="83">
        <v>0.12561795125644329</v>
      </c>
      <c r="T11" s="2">
        <v>14</v>
      </c>
      <c r="U11" s="2">
        <v>16636</v>
      </c>
      <c r="V11" s="2">
        <v>21838</v>
      </c>
      <c r="W11" s="2">
        <v>6629</v>
      </c>
      <c r="X11" s="2" t="s">
        <v>36</v>
      </c>
      <c r="Y11" s="2" t="s">
        <v>37</v>
      </c>
      <c r="Z11" s="2">
        <v>0.61</v>
      </c>
      <c r="AA11" s="2">
        <v>0.6</v>
      </c>
      <c r="AB11" s="2">
        <v>1.82</v>
      </c>
      <c r="AC11" s="2">
        <v>8.76</v>
      </c>
      <c r="AE11" s="66" t="s">
        <v>57</v>
      </c>
    </row>
    <row r="12" spans="1:31" s="2" customFormat="1" x14ac:dyDescent="0.3">
      <c r="A12" s="2">
        <v>9</v>
      </c>
      <c r="B12" s="2" t="s">
        <v>58</v>
      </c>
      <c r="C12" s="2" t="s">
        <v>32</v>
      </c>
      <c r="D12" s="2" t="s">
        <v>33</v>
      </c>
      <c r="E12" s="2">
        <v>8</v>
      </c>
      <c r="F12" s="2">
        <v>2.5000000000000001E-2</v>
      </c>
      <c r="G12" s="2">
        <v>0.5</v>
      </c>
      <c r="H12" s="2">
        <v>0.1</v>
      </c>
      <c r="I12" s="2">
        <f t="shared" si="1"/>
        <v>400</v>
      </c>
      <c r="J12" s="24" t="s">
        <v>53</v>
      </c>
      <c r="K12" s="15">
        <v>150000</v>
      </c>
      <c r="L12" s="2">
        <v>16</v>
      </c>
      <c r="M12" s="2">
        <v>8</v>
      </c>
      <c r="N12" s="2">
        <v>5</v>
      </c>
      <c r="O12" s="2">
        <v>80</v>
      </c>
      <c r="P12" s="24"/>
      <c r="Q12" s="24" t="s">
        <v>54</v>
      </c>
      <c r="R12" s="83">
        <v>84.583827999999997</v>
      </c>
      <c r="S12" s="83">
        <v>280.86451299999999</v>
      </c>
      <c r="T12" s="2">
        <v>17</v>
      </c>
      <c r="U12" s="2">
        <v>84199</v>
      </c>
      <c r="V12" s="2">
        <v>117484</v>
      </c>
      <c r="W12" s="2">
        <v>40272</v>
      </c>
      <c r="X12" s="2" t="s">
        <v>42</v>
      </c>
      <c r="Y12" s="2" t="s">
        <v>43</v>
      </c>
      <c r="Z12" s="2">
        <v>18.29</v>
      </c>
      <c r="AA12" s="2">
        <v>15.53</v>
      </c>
      <c r="AB12" s="2">
        <v>49.21</v>
      </c>
      <c r="AC12" s="2">
        <v>182.51</v>
      </c>
      <c r="AE12" s="66" t="s">
        <v>59</v>
      </c>
    </row>
    <row r="13" spans="1:31" s="2" customFormat="1" x14ac:dyDescent="0.3">
      <c r="A13" s="2">
        <v>10</v>
      </c>
      <c r="B13" s="2" t="s">
        <v>52</v>
      </c>
      <c r="C13" s="2" t="s">
        <v>45</v>
      </c>
      <c r="D13" s="2" t="s">
        <v>33</v>
      </c>
      <c r="E13" s="2">
        <v>4</v>
      </c>
      <c r="F13" s="2">
        <v>2.5000000000000001E-2</v>
      </c>
      <c r="G13" s="2">
        <v>0.5</v>
      </c>
      <c r="H13" s="2">
        <v>0.1</v>
      </c>
      <c r="I13" s="2">
        <f t="shared" si="1"/>
        <v>30</v>
      </c>
      <c r="J13" s="24" t="s">
        <v>53</v>
      </c>
      <c r="K13" s="15">
        <v>150000</v>
      </c>
      <c r="L13" s="59" t="s">
        <v>46</v>
      </c>
      <c r="M13" s="59" t="s">
        <v>46</v>
      </c>
      <c r="N13" s="2">
        <v>1</v>
      </c>
      <c r="O13" s="2">
        <v>30</v>
      </c>
      <c r="P13" s="24"/>
      <c r="Q13" s="24" t="s">
        <v>54</v>
      </c>
      <c r="R13" s="83">
        <v>0.212141</v>
      </c>
      <c r="S13" s="83">
        <v>0.72917299999999996</v>
      </c>
      <c r="T13" s="2">
        <v>9</v>
      </c>
      <c r="U13" s="2">
        <v>432535</v>
      </c>
      <c r="V13" s="2">
        <v>708679</v>
      </c>
      <c r="W13" s="2">
        <v>119440</v>
      </c>
      <c r="X13" s="2" t="s">
        <v>36</v>
      </c>
      <c r="Y13" s="2" t="s">
        <v>37</v>
      </c>
      <c r="Z13" s="2">
        <v>0.13</v>
      </c>
      <c r="AA13" s="2">
        <v>1.63</v>
      </c>
      <c r="AB13" s="2">
        <v>2.39</v>
      </c>
      <c r="AC13" s="2">
        <v>9.1999999999999993</v>
      </c>
      <c r="AE13" s="66" t="s">
        <v>60</v>
      </c>
    </row>
    <row r="14" spans="1:31" s="2" customFormat="1" x14ac:dyDescent="0.3">
      <c r="A14" s="2">
        <v>11</v>
      </c>
      <c r="B14" s="2" t="s">
        <v>56</v>
      </c>
      <c r="C14" s="2" t="s">
        <v>45</v>
      </c>
      <c r="D14" s="2" t="s">
        <v>33</v>
      </c>
      <c r="E14" s="2">
        <v>6</v>
      </c>
      <c r="F14" s="2">
        <v>2.5000000000000001E-2</v>
      </c>
      <c r="G14" s="2">
        <v>0.5</v>
      </c>
      <c r="H14" s="2">
        <v>0.1</v>
      </c>
      <c r="I14" s="2">
        <f t="shared" si="1"/>
        <v>100</v>
      </c>
      <c r="J14" s="24" t="s">
        <v>53</v>
      </c>
      <c r="K14" s="15">
        <v>150000</v>
      </c>
      <c r="L14" s="59" t="s">
        <v>46</v>
      </c>
      <c r="M14" s="59" t="s">
        <v>46</v>
      </c>
      <c r="N14" s="2">
        <v>1</v>
      </c>
      <c r="O14" s="2">
        <v>100</v>
      </c>
      <c r="P14" s="24"/>
      <c r="Q14" s="24" t="s">
        <v>54</v>
      </c>
      <c r="R14" s="83">
        <v>0.100355</v>
      </c>
      <c r="S14" s="83">
        <v>0.333235</v>
      </c>
      <c r="T14" s="2">
        <v>9</v>
      </c>
      <c r="U14" s="2">
        <v>432727</v>
      </c>
      <c r="V14" s="2">
        <v>708874</v>
      </c>
      <c r="W14" s="2">
        <v>119440</v>
      </c>
      <c r="X14" s="2" t="s">
        <v>36</v>
      </c>
      <c r="Y14" s="2" t="s">
        <v>37</v>
      </c>
      <c r="Z14" s="2">
        <v>1.71</v>
      </c>
      <c r="AA14" s="2">
        <v>21.85</v>
      </c>
      <c r="AB14" s="2">
        <v>33.64</v>
      </c>
      <c r="AC14" s="2">
        <v>62.24</v>
      </c>
      <c r="AE14" s="66" t="s">
        <v>61</v>
      </c>
    </row>
    <row r="15" spans="1:31" s="2" customFormat="1" x14ac:dyDescent="0.3">
      <c r="A15" s="2">
        <v>12</v>
      </c>
      <c r="B15" s="2" t="s">
        <v>58</v>
      </c>
      <c r="C15" s="2" t="s">
        <v>45</v>
      </c>
      <c r="D15" s="2" t="s">
        <v>33</v>
      </c>
      <c r="E15" s="2">
        <v>8</v>
      </c>
      <c r="F15" s="2">
        <v>2.5000000000000001E-2</v>
      </c>
      <c r="G15" s="2">
        <v>0.5</v>
      </c>
      <c r="H15" s="2">
        <v>0.1</v>
      </c>
      <c r="I15" s="2">
        <f t="shared" si="1"/>
        <v>400</v>
      </c>
      <c r="J15" s="24" t="s">
        <v>53</v>
      </c>
      <c r="K15" s="15">
        <v>150000</v>
      </c>
      <c r="L15" s="59" t="s">
        <v>46</v>
      </c>
      <c r="M15" s="59" t="s">
        <v>46</v>
      </c>
      <c r="N15" s="2">
        <v>1</v>
      </c>
      <c r="O15" s="2">
        <v>400</v>
      </c>
      <c r="P15" s="24"/>
      <c r="Q15" s="24" t="s">
        <v>54</v>
      </c>
      <c r="R15" s="83">
        <v>7.0691000000000004E-2</v>
      </c>
      <c r="S15" s="83">
        <v>0.234733</v>
      </c>
      <c r="T15" s="2">
        <v>9</v>
      </c>
      <c r="U15" s="2">
        <v>432727</v>
      </c>
      <c r="V15" s="2">
        <v>708877</v>
      </c>
      <c r="W15" s="2">
        <v>119440</v>
      </c>
      <c r="X15" s="2" t="s">
        <v>42</v>
      </c>
      <c r="Y15" s="2" t="s">
        <v>43</v>
      </c>
      <c r="Z15" s="2">
        <v>45.56</v>
      </c>
      <c r="AA15" s="2">
        <v>578.78</v>
      </c>
      <c r="AB15" s="2">
        <v>1090</v>
      </c>
      <c r="AC15" s="2">
        <v>1721.64</v>
      </c>
      <c r="AE15" s="66" t="s">
        <v>62</v>
      </c>
    </row>
    <row r="16" spans="1:31" s="55" customFormat="1" x14ac:dyDescent="0.3">
      <c r="B16" s="55" t="s">
        <v>63</v>
      </c>
      <c r="J16" s="56"/>
      <c r="K16" s="57"/>
      <c r="P16" s="56"/>
      <c r="Q16" s="56"/>
      <c r="R16" s="84"/>
      <c r="S16" s="84"/>
      <c r="AE16" s="67"/>
    </row>
    <row r="17" spans="1:31" s="3" customFormat="1" x14ac:dyDescent="0.3">
      <c r="A17" s="3">
        <v>13</v>
      </c>
      <c r="B17" s="3" t="s">
        <v>64</v>
      </c>
      <c r="C17" s="3" t="s">
        <v>32</v>
      </c>
      <c r="D17" s="3" t="s">
        <v>33</v>
      </c>
      <c r="E17" s="3">
        <v>4</v>
      </c>
      <c r="F17" s="3">
        <v>0.03</v>
      </c>
      <c r="G17" s="3">
        <v>0.4</v>
      </c>
      <c r="H17" s="3">
        <v>0.1</v>
      </c>
      <c r="I17" s="3">
        <f>N17*O17</f>
        <v>60</v>
      </c>
      <c r="J17" s="25" t="s">
        <v>65</v>
      </c>
      <c r="K17" s="16">
        <v>150000</v>
      </c>
      <c r="L17" s="3">
        <v>8</v>
      </c>
      <c r="M17" s="3">
        <v>8</v>
      </c>
      <c r="N17" s="3">
        <v>5</v>
      </c>
      <c r="O17" s="3">
        <v>12</v>
      </c>
      <c r="P17" s="25"/>
      <c r="Q17" s="25" t="s">
        <v>54</v>
      </c>
      <c r="R17" s="85">
        <v>1.7648E-2</v>
      </c>
      <c r="S17" s="85">
        <v>0.100162</v>
      </c>
      <c r="T17" s="61">
        <v>10</v>
      </c>
      <c r="U17" s="61">
        <v>3063</v>
      </c>
      <c r="V17" s="61">
        <v>3753</v>
      </c>
      <c r="W17" s="61">
        <v>1007</v>
      </c>
      <c r="X17" s="61" t="s">
        <v>36</v>
      </c>
      <c r="Y17" s="61" t="s">
        <v>37</v>
      </c>
      <c r="Z17" s="61">
        <v>0.05</v>
      </c>
      <c r="AA17" s="61">
        <v>0.22</v>
      </c>
      <c r="AB17" s="61">
        <v>131.49</v>
      </c>
      <c r="AC17" s="61">
        <v>259.93</v>
      </c>
      <c r="AE17" s="68" t="s">
        <v>66</v>
      </c>
    </row>
    <row r="18" spans="1:31" s="3" customFormat="1" x14ac:dyDescent="0.3">
      <c r="A18" s="3">
        <v>14</v>
      </c>
      <c r="B18" s="3" t="s">
        <v>67</v>
      </c>
      <c r="C18" s="3" t="s">
        <v>32</v>
      </c>
      <c r="D18" s="3" t="s">
        <v>33</v>
      </c>
      <c r="E18" s="3">
        <v>6</v>
      </c>
      <c r="F18" s="3">
        <v>0.03</v>
      </c>
      <c r="G18" s="3">
        <v>0.4</v>
      </c>
      <c r="H18" s="3">
        <v>0.1</v>
      </c>
      <c r="I18" s="3">
        <f t="shared" ref="I18:I22" si="2">N18*O18</f>
        <v>230</v>
      </c>
      <c r="J18" s="25" t="s">
        <v>65</v>
      </c>
      <c r="K18" s="16">
        <v>150000</v>
      </c>
      <c r="L18" s="3">
        <v>8</v>
      </c>
      <c r="M18" s="3">
        <v>8</v>
      </c>
      <c r="N18" s="3">
        <v>5</v>
      </c>
      <c r="O18" s="3">
        <v>46</v>
      </c>
      <c r="P18" s="25"/>
      <c r="Q18" s="25" t="s">
        <v>54</v>
      </c>
      <c r="R18" s="85">
        <v>7.7662799853614947E-2</v>
      </c>
      <c r="S18" s="85">
        <v>0.43174356373876371</v>
      </c>
      <c r="T18" s="61">
        <v>14</v>
      </c>
      <c r="U18" s="61">
        <v>16593</v>
      </c>
      <c r="V18" s="61">
        <v>21784</v>
      </c>
      <c r="W18" s="61">
        <v>6628</v>
      </c>
      <c r="X18" s="61" t="s">
        <v>36</v>
      </c>
      <c r="Y18" s="61" t="s">
        <v>37</v>
      </c>
      <c r="Z18" s="61">
        <v>1.49</v>
      </c>
      <c r="AA18" s="61">
        <v>1.32</v>
      </c>
      <c r="AB18" s="61">
        <v>4.22</v>
      </c>
      <c r="AC18" s="61">
        <v>17.190000000000001</v>
      </c>
      <c r="AE18" s="68" t="s">
        <v>68</v>
      </c>
    </row>
    <row r="19" spans="1:31" s="3" customFormat="1" x14ac:dyDescent="0.3">
      <c r="A19" s="3">
        <v>15</v>
      </c>
      <c r="B19" s="3" t="s">
        <v>69</v>
      </c>
      <c r="C19" s="3" t="s">
        <v>32</v>
      </c>
      <c r="D19" s="3" t="s">
        <v>33</v>
      </c>
      <c r="E19" s="3">
        <v>8</v>
      </c>
      <c r="F19" s="3">
        <v>0.03</v>
      </c>
      <c r="G19" s="3">
        <v>0.4</v>
      </c>
      <c r="H19" s="3">
        <v>0.1</v>
      </c>
      <c r="I19" s="3">
        <f t="shared" si="2"/>
        <v>920</v>
      </c>
      <c r="J19" s="25" t="s">
        <v>65</v>
      </c>
      <c r="K19" s="16">
        <v>150000</v>
      </c>
      <c r="L19" s="3">
        <v>16</v>
      </c>
      <c r="M19" s="3">
        <v>8</v>
      </c>
      <c r="N19" s="3">
        <v>5</v>
      </c>
      <c r="O19" s="3">
        <v>184</v>
      </c>
      <c r="P19" s="25"/>
      <c r="Q19" s="25" t="s">
        <v>54</v>
      </c>
      <c r="R19" s="85">
        <v>120.614592</v>
      </c>
      <c r="S19" s="85">
        <v>670.52188699999999</v>
      </c>
      <c r="T19" s="61">
        <v>17</v>
      </c>
      <c r="U19" s="61">
        <v>84118</v>
      </c>
      <c r="V19" s="61">
        <v>117378</v>
      </c>
      <c r="W19" s="61">
        <v>40270</v>
      </c>
      <c r="X19" s="61" t="s">
        <v>42</v>
      </c>
      <c r="Y19" s="61" t="s">
        <v>43</v>
      </c>
      <c r="Z19" s="61">
        <v>55.81</v>
      </c>
      <c r="AA19" s="61">
        <v>25.81</v>
      </c>
      <c r="AB19" s="61">
        <v>442.87</v>
      </c>
      <c r="AC19" s="61">
        <v>1072.96</v>
      </c>
      <c r="AE19" s="68" t="s">
        <v>70</v>
      </c>
    </row>
    <row r="20" spans="1:31" s="3" customFormat="1" x14ac:dyDescent="0.3">
      <c r="A20" s="3">
        <v>16</v>
      </c>
      <c r="B20" s="3" t="s">
        <v>64</v>
      </c>
      <c r="C20" s="3" t="s">
        <v>45</v>
      </c>
      <c r="D20" s="3" t="s">
        <v>33</v>
      </c>
      <c r="E20" s="3">
        <v>4</v>
      </c>
      <c r="F20" s="3">
        <v>0.03</v>
      </c>
      <c r="G20" s="3">
        <v>0.4</v>
      </c>
      <c r="H20" s="3">
        <v>0.1</v>
      </c>
      <c r="I20" s="3">
        <f t="shared" si="2"/>
        <v>60</v>
      </c>
      <c r="J20" s="25" t="s">
        <v>65</v>
      </c>
      <c r="K20" s="16">
        <v>150000</v>
      </c>
      <c r="L20" s="58" t="s">
        <v>46</v>
      </c>
      <c r="M20" s="58" t="s">
        <v>46</v>
      </c>
      <c r="N20" s="3">
        <v>1</v>
      </c>
      <c r="O20" s="3">
        <v>60</v>
      </c>
      <c r="P20" s="25"/>
      <c r="Q20" s="25" t="s">
        <v>54</v>
      </c>
      <c r="R20" s="85">
        <v>0.15390300000000001</v>
      </c>
      <c r="S20" s="85">
        <v>0.87346599999999996</v>
      </c>
      <c r="T20" s="61">
        <v>9</v>
      </c>
      <c r="U20" s="61">
        <v>432601</v>
      </c>
      <c r="V20" s="61">
        <v>708746</v>
      </c>
      <c r="W20" s="61">
        <v>119440</v>
      </c>
      <c r="X20" s="61" t="s">
        <v>36</v>
      </c>
      <c r="Y20" s="61" t="s">
        <v>37</v>
      </c>
      <c r="Z20" s="61">
        <v>0.26</v>
      </c>
      <c r="AA20" s="61">
        <v>3.29</v>
      </c>
      <c r="AB20" s="61">
        <v>4.99</v>
      </c>
      <c r="AC20" s="61">
        <v>15.01</v>
      </c>
      <c r="AE20" s="68" t="s">
        <v>71</v>
      </c>
    </row>
    <row r="21" spans="1:31" s="3" customFormat="1" x14ac:dyDescent="0.3">
      <c r="A21" s="3">
        <v>17</v>
      </c>
      <c r="B21" s="3" t="s">
        <v>67</v>
      </c>
      <c r="C21" s="3" t="s">
        <v>45</v>
      </c>
      <c r="D21" s="3" t="s">
        <v>33</v>
      </c>
      <c r="E21" s="3">
        <v>6</v>
      </c>
      <c r="F21" s="3">
        <v>0.03</v>
      </c>
      <c r="G21" s="3">
        <v>0.4</v>
      </c>
      <c r="H21" s="3">
        <v>0.1</v>
      </c>
      <c r="I21" s="3">
        <f t="shared" si="2"/>
        <v>230</v>
      </c>
      <c r="J21" s="25" t="s">
        <v>65</v>
      </c>
      <c r="K21" s="16">
        <v>150000</v>
      </c>
      <c r="L21" s="58" t="s">
        <v>46</v>
      </c>
      <c r="M21" s="58" t="s">
        <v>46</v>
      </c>
      <c r="N21" s="3">
        <v>1</v>
      </c>
      <c r="O21" s="3">
        <v>230</v>
      </c>
      <c r="P21" s="25"/>
      <c r="Q21" s="25" t="s">
        <v>54</v>
      </c>
      <c r="R21" s="85">
        <v>4.9915000000000001E-2</v>
      </c>
      <c r="S21" s="85">
        <v>0.27748800000000001</v>
      </c>
      <c r="T21" s="61">
        <v>9</v>
      </c>
      <c r="U21" s="61">
        <v>432599</v>
      </c>
      <c r="V21" s="61">
        <v>708746</v>
      </c>
      <c r="W21" s="61">
        <v>119440</v>
      </c>
      <c r="X21" s="61" t="s">
        <v>36</v>
      </c>
      <c r="Y21" s="61" t="s">
        <v>37</v>
      </c>
      <c r="Z21" s="61">
        <v>3.8</v>
      </c>
      <c r="AA21" s="61">
        <v>50.41</v>
      </c>
      <c r="AB21" s="61">
        <v>76.42</v>
      </c>
      <c r="AC21" s="61">
        <v>135.74</v>
      </c>
      <c r="AE21" s="68" t="s">
        <v>72</v>
      </c>
    </row>
    <row r="22" spans="1:31" s="3" customFormat="1" x14ac:dyDescent="0.3">
      <c r="A22" s="3">
        <v>18</v>
      </c>
      <c r="B22" s="3" t="s">
        <v>69</v>
      </c>
      <c r="C22" s="3" t="s">
        <v>45</v>
      </c>
      <c r="D22" s="3" t="s">
        <v>33</v>
      </c>
      <c r="E22" s="3">
        <v>8</v>
      </c>
      <c r="F22" s="3">
        <v>0.03</v>
      </c>
      <c r="G22" s="3">
        <v>0.4</v>
      </c>
      <c r="H22" s="3">
        <v>0.1</v>
      </c>
      <c r="I22" s="3">
        <f t="shared" si="2"/>
        <v>920</v>
      </c>
      <c r="J22" s="25" t="s">
        <v>65</v>
      </c>
      <c r="K22" s="16">
        <v>150000</v>
      </c>
      <c r="L22" s="58" t="s">
        <v>46</v>
      </c>
      <c r="M22" s="58" t="s">
        <v>46</v>
      </c>
      <c r="N22" s="3">
        <v>1</v>
      </c>
      <c r="O22" s="3">
        <v>920</v>
      </c>
      <c r="P22" s="25"/>
      <c r="Q22" s="25" t="s">
        <v>54</v>
      </c>
      <c r="R22" s="85">
        <v>8.0782999999999994E-2</v>
      </c>
      <c r="S22" s="85">
        <v>0.44908900000000002</v>
      </c>
      <c r="T22" s="61">
        <v>9</v>
      </c>
      <c r="U22" s="61">
        <v>432576</v>
      </c>
      <c r="V22" s="61">
        <v>708725</v>
      </c>
      <c r="W22" s="61">
        <v>119440</v>
      </c>
      <c r="X22" s="61" t="s">
        <v>42</v>
      </c>
      <c r="Y22" s="61" t="s">
        <v>43</v>
      </c>
      <c r="Z22" s="61">
        <v>93.42</v>
      </c>
      <c r="AA22" s="61">
        <v>1347.38</v>
      </c>
      <c r="AB22" s="61">
        <v>2495.88</v>
      </c>
      <c r="AC22" s="61">
        <v>3943.98</v>
      </c>
      <c r="AE22" s="68" t="s">
        <v>73</v>
      </c>
    </row>
    <row r="23" spans="1:31" s="46" customFormat="1" ht="16.95" customHeight="1" x14ac:dyDescent="0.3">
      <c r="B23" s="46" t="s">
        <v>74</v>
      </c>
      <c r="J23" s="47"/>
      <c r="K23" s="48"/>
      <c r="P23" s="47"/>
      <c r="Q23" s="47"/>
      <c r="R23" s="86"/>
      <c r="S23" s="86"/>
      <c r="AD23" s="4"/>
      <c r="AE23" s="69"/>
    </row>
    <row r="24" spans="1:31" s="4" customFormat="1" ht="16.95" customHeight="1" x14ac:dyDescent="0.3">
      <c r="A24" s="4">
        <v>19</v>
      </c>
      <c r="B24" s="4" t="s">
        <v>75</v>
      </c>
      <c r="C24" s="4" t="s">
        <v>32</v>
      </c>
      <c r="D24" s="4" t="s">
        <v>76</v>
      </c>
      <c r="E24" s="4">
        <v>3</v>
      </c>
      <c r="F24" s="4">
        <v>0.08</v>
      </c>
      <c r="G24" s="4">
        <v>0.3</v>
      </c>
      <c r="H24" s="4">
        <v>0.3</v>
      </c>
      <c r="I24" s="4">
        <f>N24*O24</f>
        <v>1</v>
      </c>
      <c r="J24" s="26" t="s">
        <v>77</v>
      </c>
      <c r="K24" s="17">
        <v>150000</v>
      </c>
      <c r="L24" s="4">
        <v>8</v>
      </c>
      <c r="M24" s="4">
        <v>8</v>
      </c>
      <c r="N24" s="4">
        <v>1</v>
      </c>
      <c r="O24" s="4">
        <v>1</v>
      </c>
      <c r="P24" s="26" t="s">
        <v>78</v>
      </c>
      <c r="Q24" s="26" t="s">
        <v>79</v>
      </c>
      <c r="R24" s="87">
        <v>0.11948499999999999</v>
      </c>
      <c r="S24" s="87">
        <v>0.63414599999999999</v>
      </c>
      <c r="T24" s="4">
        <v>5</v>
      </c>
      <c r="U24" s="4">
        <v>286</v>
      </c>
      <c r="V24" s="4">
        <v>466</v>
      </c>
      <c r="W24" s="4">
        <v>97</v>
      </c>
      <c r="X24" s="4" t="s">
        <v>80</v>
      </c>
      <c r="Y24" s="4" t="s">
        <v>81</v>
      </c>
      <c r="AC24" s="4">
        <v>613.46</v>
      </c>
      <c r="AD24" s="4" t="s">
        <v>47</v>
      </c>
      <c r="AE24" s="70" t="s">
        <v>82</v>
      </c>
    </row>
    <row r="25" spans="1:31" s="4" customFormat="1" x14ac:dyDescent="0.3">
      <c r="A25" s="4">
        <v>20</v>
      </c>
      <c r="B25" s="4" t="s">
        <v>75</v>
      </c>
      <c r="C25" s="4" t="s">
        <v>32</v>
      </c>
      <c r="D25" s="4" t="s">
        <v>83</v>
      </c>
      <c r="E25" s="4">
        <v>3</v>
      </c>
      <c r="F25" s="4">
        <v>0.08</v>
      </c>
      <c r="G25" s="4">
        <v>0.3</v>
      </c>
      <c r="H25" s="4">
        <v>0.3</v>
      </c>
      <c r="I25" s="4">
        <f t="shared" ref="I25:I29" si="3">N25*O25</f>
        <v>1</v>
      </c>
      <c r="J25" s="26" t="s">
        <v>77</v>
      </c>
      <c r="K25" s="17">
        <v>150000</v>
      </c>
      <c r="L25" s="4">
        <v>8</v>
      </c>
      <c r="M25" s="4">
        <v>8</v>
      </c>
      <c r="N25" s="4">
        <v>1</v>
      </c>
      <c r="O25" s="4">
        <v>1</v>
      </c>
      <c r="P25" s="26" t="s">
        <v>78</v>
      </c>
      <c r="Q25" s="26" t="s">
        <v>79</v>
      </c>
      <c r="R25" s="87">
        <v>0.112124</v>
      </c>
      <c r="S25" s="87">
        <v>0.595078</v>
      </c>
      <c r="T25" s="4">
        <v>5</v>
      </c>
      <c r="U25" s="4">
        <v>313</v>
      </c>
      <c r="V25" s="4">
        <v>470</v>
      </c>
      <c r="W25" s="4">
        <v>97</v>
      </c>
      <c r="X25" s="4" t="s">
        <v>80</v>
      </c>
      <c r="Y25" s="4" t="s">
        <v>81</v>
      </c>
      <c r="AC25" s="4">
        <v>678.42</v>
      </c>
      <c r="AD25" s="4" t="s">
        <v>47</v>
      </c>
      <c r="AE25" s="70" t="s">
        <v>84</v>
      </c>
    </row>
    <row r="26" spans="1:31" s="4" customFormat="1" x14ac:dyDescent="0.3">
      <c r="A26" s="4">
        <v>21</v>
      </c>
      <c r="B26" s="4" t="s">
        <v>75</v>
      </c>
      <c r="C26" s="4" t="s">
        <v>32</v>
      </c>
      <c r="D26" s="4" t="s">
        <v>85</v>
      </c>
      <c r="E26" s="4">
        <v>3</v>
      </c>
      <c r="F26" s="4">
        <v>0.08</v>
      </c>
      <c r="G26" s="4">
        <v>0.3</v>
      </c>
      <c r="H26" s="4">
        <v>0.3</v>
      </c>
      <c r="I26" s="4">
        <f t="shared" si="3"/>
        <v>1</v>
      </c>
      <c r="J26" s="26" t="s">
        <v>77</v>
      </c>
      <c r="K26" s="17">
        <v>150000</v>
      </c>
      <c r="L26" s="4">
        <v>8</v>
      </c>
      <c r="M26" s="4">
        <v>8</v>
      </c>
      <c r="N26" s="4">
        <v>1</v>
      </c>
      <c r="O26" s="4">
        <v>1</v>
      </c>
      <c r="P26" s="26" t="s">
        <v>78</v>
      </c>
      <c r="Q26" s="26" t="s">
        <v>79</v>
      </c>
      <c r="R26" s="87">
        <v>0.153282</v>
      </c>
      <c r="S26" s="87">
        <v>0.81351399999999996</v>
      </c>
      <c r="T26" s="4">
        <v>5</v>
      </c>
      <c r="U26" s="4">
        <v>311</v>
      </c>
      <c r="V26" s="4">
        <v>476</v>
      </c>
      <c r="W26" s="4">
        <v>97</v>
      </c>
      <c r="X26" s="4" t="s">
        <v>80</v>
      </c>
      <c r="Y26" s="4" t="s">
        <v>81</v>
      </c>
      <c r="AC26" s="4">
        <v>53817.56</v>
      </c>
      <c r="AD26" s="4" t="s">
        <v>47</v>
      </c>
      <c r="AE26" s="70" t="s">
        <v>86</v>
      </c>
    </row>
    <row r="27" spans="1:31" s="4" customFormat="1" x14ac:dyDescent="0.3">
      <c r="A27" s="4">
        <v>22</v>
      </c>
      <c r="B27" s="4" t="s">
        <v>75</v>
      </c>
      <c r="C27" s="4" t="s">
        <v>32</v>
      </c>
      <c r="D27" s="4" t="s">
        <v>87</v>
      </c>
      <c r="E27" s="4">
        <v>3</v>
      </c>
      <c r="F27" s="4">
        <v>0.08</v>
      </c>
      <c r="G27" s="4">
        <v>0.3</v>
      </c>
      <c r="H27" s="4">
        <v>0.3</v>
      </c>
      <c r="I27" s="4">
        <f t="shared" si="3"/>
        <v>1</v>
      </c>
      <c r="J27" s="26" t="s">
        <v>77</v>
      </c>
      <c r="K27" s="17">
        <v>150000</v>
      </c>
      <c r="L27" s="4">
        <v>8</v>
      </c>
      <c r="M27" s="4">
        <v>8</v>
      </c>
      <c r="N27" s="4">
        <v>1</v>
      </c>
      <c r="O27" s="4">
        <v>1</v>
      </c>
      <c r="P27" s="26" t="s">
        <v>78</v>
      </c>
      <c r="Q27" s="26" t="s">
        <v>79</v>
      </c>
      <c r="R27" s="87">
        <v>0.10860400000000001</v>
      </c>
      <c r="S27" s="87">
        <v>0.57639499999999999</v>
      </c>
      <c r="T27" s="4">
        <v>5</v>
      </c>
      <c r="U27" s="4">
        <v>307</v>
      </c>
      <c r="V27" s="4">
        <v>482</v>
      </c>
      <c r="W27" s="4">
        <v>98</v>
      </c>
      <c r="X27" s="4" t="s">
        <v>80</v>
      </c>
      <c r="Y27" s="4" t="s">
        <v>81</v>
      </c>
      <c r="AC27" s="4">
        <v>5369.95</v>
      </c>
      <c r="AD27" s="4" t="s">
        <v>47</v>
      </c>
      <c r="AE27" s="70" t="s">
        <v>88</v>
      </c>
    </row>
    <row r="28" spans="1:31" s="4" customFormat="1" x14ac:dyDescent="0.3">
      <c r="A28" s="4">
        <v>23</v>
      </c>
      <c r="B28" s="4" t="s">
        <v>89</v>
      </c>
      <c r="C28" s="4" t="s">
        <v>32</v>
      </c>
      <c r="D28" s="4" t="s">
        <v>33</v>
      </c>
      <c r="E28" s="4">
        <v>3</v>
      </c>
      <c r="F28" s="4">
        <v>0.08</v>
      </c>
      <c r="G28" s="4">
        <v>0.3</v>
      </c>
      <c r="H28" s="4">
        <v>0.3</v>
      </c>
      <c r="I28" s="4">
        <f t="shared" si="3"/>
        <v>1</v>
      </c>
      <c r="J28" s="26" t="s">
        <v>77</v>
      </c>
      <c r="K28" s="17">
        <v>150000</v>
      </c>
      <c r="L28" s="4">
        <v>8</v>
      </c>
      <c r="M28" s="4">
        <v>8</v>
      </c>
      <c r="N28" s="4">
        <v>1</v>
      </c>
      <c r="O28" s="4">
        <v>1</v>
      </c>
      <c r="P28" s="26"/>
      <c r="Q28" s="26" t="s">
        <v>79</v>
      </c>
      <c r="R28" s="87">
        <v>2.8732000000000001E-2</v>
      </c>
      <c r="S28" s="87">
        <v>0.15248700000000001</v>
      </c>
      <c r="T28" s="4">
        <v>5</v>
      </c>
      <c r="U28" s="4">
        <v>227</v>
      </c>
      <c r="V28" s="4">
        <v>288</v>
      </c>
      <c r="W28" s="4">
        <v>71</v>
      </c>
      <c r="X28" s="4" t="s">
        <v>36</v>
      </c>
      <c r="Y28" s="4" t="s">
        <v>37</v>
      </c>
      <c r="Z28" s="4">
        <v>0.01</v>
      </c>
      <c r="AA28" s="4">
        <v>0.32</v>
      </c>
      <c r="AB28" s="4">
        <v>0.09</v>
      </c>
      <c r="AC28" s="4">
        <v>4.78</v>
      </c>
      <c r="AE28" s="70" t="s">
        <v>90</v>
      </c>
    </row>
    <row r="29" spans="1:31" s="4" customFormat="1" x14ac:dyDescent="0.3">
      <c r="A29" s="4">
        <v>24</v>
      </c>
      <c r="B29" s="4" t="s">
        <v>89</v>
      </c>
      <c r="C29" s="4" t="s">
        <v>32</v>
      </c>
      <c r="D29" s="4" t="s">
        <v>33</v>
      </c>
      <c r="E29" s="4">
        <v>3</v>
      </c>
      <c r="F29" s="4">
        <v>0.08</v>
      </c>
      <c r="G29" s="4">
        <v>0.3</v>
      </c>
      <c r="H29" s="4">
        <v>0.3</v>
      </c>
      <c r="I29" s="4">
        <f t="shared" si="3"/>
        <v>1</v>
      </c>
      <c r="J29" s="26" t="s">
        <v>77</v>
      </c>
      <c r="K29" s="17">
        <v>0</v>
      </c>
      <c r="L29" s="4">
        <v>8</v>
      </c>
      <c r="M29" s="4">
        <v>8</v>
      </c>
      <c r="N29" s="4">
        <v>1</v>
      </c>
      <c r="O29" s="4">
        <v>1</v>
      </c>
      <c r="P29" s="26"/>
      <c r="Q29" s="26" t="s">
        <v>79</v>
      </c>
      <c r="R29" s="87">
        <v>2.6860999999999999E-2</v>
      </c>
      <c r="S29" s="87">
        <v>0.14255899999999999</v>
      </c>
      <c r="X29" s="4" t="s">
        <v>36</v>
      </c>
      <c r="Y29" s="4" t="s">
        <v>37</v>
      </c>
      <c r="Z29" s="4">
        <v>0</v>
      </c>
      <c r="AA29" s="4">
        <v>0</v>
      </c>
      <c r="AB29" s="4">
        <v>0</v>
      </c>
      <c r="AC29" s="4">
        <v>0.03</v>
      </c>
      <c r="AE29" s="70" t="s">
        <v>91</v>
      </c>
    </row>
    <row r="30" spans="1:31" s="43" customFormat="1" x14ac:dyDescent="0.3">
      <c r="B30" s="43" t="s">
        <v>92</v>
      </c>
      <c r="J30" s="44"/>
      <c r="K30" s="45"/>
      <c r="P30" s="44"/>
      <c r="Q30" s="44"/>
      <c r="R30" s="88"/>
      <c r="S30" s="88"/>
      <c r="AE30" s="71"/>
    </row>
    <row r="31" spans="1:31" s="5" customFormat="1" ht="16.95" customHeight="1" x14ac:dyDescent="0.3">
      <c r="A31" s="5">
        <v>26</v>
      </c>
      <c r="B31" s="10" t="s">
        <v>93</v>
      </c>
      <c r="C31" s="5" t="s">
        <v>32</v>
      </c>
      <c r="D31" s="5" t="s">
        <v>94</v>
      </c>
      <c r="E31" s="5">
        <v>8</v>
      </c>
      <c r="F31" s="5">
        <v>0.03</v>
      </c>
      <c r="G31" s="5">
        <v>0.3</v>
      </c>
      <c r="H31" s="5">
        <v>0.1</v>
      </c>
      <c r="I31" s="5">
        <f>N31*O31</f>
        <v>512</v>
      </c>
      <c r="J31" s="27" t="s">
        <v>34</v>
      </c>
      <c r="K31" s="18">
        <v>0</v>
      </c>
      <c r="L31" s="5">
        <v>4</v>
      </c>
      <c r="M31" s="5">
        <v>8</v>
      </c>
      <c r="N31" s="5">
        <v>512</v>
      </c>
      <c r="O31" s="5">
        <v>1</v>
      </c>
      <c r="P31" s="27"/>
      <c r="Q31" s="27" t="s">
        <v>95</v>
      </c>
      <c r="R31" s="89">
        <v>2.8E-5</v>
      </c>
      <c r="S31" s="89">
        <v>1.6899999999999999E-4</v>
      </c>
      <c r="X31" s="5" t="s">
        <v>96</v>
      </c>
      <c r="Y31" s="5" t="s">
        <v>43</v>
      </c>
      <c r="Z31" s="5">
        <v>0</v>
      </c>
      <c r="AA31" s="5">
        <v>0</v>
      </c>
      <c r="AB31" s="5">
        <v>0</v>
      </c>
      <c r="AC31" s="5">
        <v>221.77</v>
      </c>
      <c r="AD31" s="5" t="s">
        <v>47</v>
      </c>
      <c r="AE31" s="72" t="s">
        <v>97</v>
      </c>
    </row>
    <row r="32" spans="1:31" s="5" customFormat="1" ht="16.95" customHeight="1" x14ac:dyDescent="0.3">
      <c r="B32" s="10" t="s">
        <v>98</v>
      </c>
      <c r="C32" s="5" t="s">
        <v>32</v>
      </c>
      <c r="D32" s="5" t="s">
        <v>94</v>
      </c>
      <c r="E32" s="5">
        <v>8</v>
      </c>
      <c r="F32" s="5">
        <v>0.03</v>
      </c>
      <c r="G32" s="5">
        <v>0.3</v>
      </c>
      <c r="H32" s="5">
        <v>0.1</v>
      </c>
      <c r="I32" s="5">
        <f>N32*O32</f>
        <v>512</v>
      </c>
      <c r="J32" s="27" t="s">
        <v>34</v>
      </c>
      <c r="K32" s="18">
        <v>131072</v>
      </c>
      <c r="L32" s="5">
        <v>4</v>
      </c>
      <c r="M32" s="5">
        <v>8</v>
      </c>
      <c r="N32" s="5">
        <v>512</v>
      </c>
      <c r="O32" s="5">
        <v>1</v>
      </c>
      <c r="P32" s="27"/>
      <c r="Q32" s="27" t="s">
        <v>95</v>
      </c>
      <c r="R32" s="90" t="s">
        <v>46</v>
      </c>
      <c r="S32" s="90" t="s">
        <v>46</v>
      </c>
      <c r="T32" s="32"/>
      <c r="U32" s="32"/>
      <c r="V32" s="32"/>
      <c r="W32" s="32"/>
      <c r="X32" s="5" t="s">
        <v>96</v>
      </c>
      <c r="Y32" s="5" t="s">
        <v>43</v>
      </c>
      <c r="AD32" s="5" t="s">
        <v>99</v>
      </c>
      <c r="AE32" s="100" t="s">
        <v>100</v>
      </c>
    </row>
    <row r="33" spans="1:31" s="5" customFormat="1" ht="16.95" customHeight="1" x14ac:dyDescent="0.3">
      <c r="A33" s="5">
        <v>27</v>
      </c>
      <c r="B33" s="10" t="s">
        <v>98</v>
      </c>
      <c r="C33" s="5" t="s">
        <v>32</v>
      </c>
      <c r="D33" s="5" t="s">
        <v>94</v>
      </c>
      <c r="E33" s="5">
        <v>8</v>
      </c>
      <c r="F33" s="5">
        <v>0.03</v>
      </c>
      <c r="G33" s="5">
        <v>0.3</v>
      </c>
      <c r="H33" s="5">
        <v>0.1</v>
      </c>
      <c r="I33" s="5">
        <f>N33*O33</f>
        <v>512</v>
      </c>
      <c r="J33" s="27" t="s">
        <v>34</v>
      </c>
      <c r="K33" s="18">
        <v>131072</v>
      </c>
      <c r="L33" s="5">
        <v>4</v>
      </c>
      <c r="M33" s="5">
        <v>8</v>
      </c>
      <c r="N33" s="5">
        <v>512</v>
      </c>
      <c r="O33" s="5">
        <v>1</v>
      </c>
      <c r="P33" s="27"/>
      <c r="Q33" s="27" t="s">
        <v>95</v>
      </c>
      <c r="R33" s="90">
        <v>1.0512000000000001E-2</v>
      </c>
      <c r="S33" s="90">
        <v>6.3073000000000004E-2</v>
      </c>
      <c r="T33" s="32">
        <v>11</v>
      </c>
      <c r="U33" s="32">
        <v>15833</v>
      </c>
      <c r="V33" s="32">
        <v>22033</v>
      </c>
      <c r="W33" s="32">
        <v>7846</v>
      </c>
      <c r="X33" s="5" t="s">
        <v>96</v>
      </c>
      <c r="Y33" s="5" t="s">
        <v>43</v>
      </c>
      <c r="Z33" s="5">
        <v>15.43</v>
      </c>
      <c r="AA33" s="5">
        <v>7.19</v>
      </c>
      <c r="AB33" s="5">
        <v>51.65</v>
      </c>
      <c r="AC33" s="5">
        <v>349.83</v>
      </c>
      <c r="AD33" s="5" t="s">
        <v>123</v>
      </c>
      <c r="AE33" s="100" t="s">
        <v>124</v>
      </c>
    </row>
    <row r="34" spans="1:31" s="35" customFormat="1" x14ac:dyDescent="0.3">
      <c r="B34" s="36" t="s">
        <v>101</v>
      </c>
      <c r="J34" s="37"/>
      <c r="K34" s="38"/>
      <c r="P34" s="37"/>
      <c r="Q34" s="37"/>
      <c r="R34" s="91"/>
      <c r="S34" s="92"/>
      <c r="AE34" s="73"/>
    </row>
    <row r="35" spans="1:31" s="6" customFormat="1" ht="16.95" customHeight="1" x14ac:dyDescent="0.3">
      <c r="A35" s="6">
        <v>28</v>
      </c>
      <c r="B35" s="11" t="s">
        <v>102</v>
      </c>
      <c r="C35" s="6" t="s">
        <v>32</v>
      </c>
      <c r="D35" s="6" t="s">
        <v>103</v>
      </c>
      <c r="E35" s="6">
        <v>8</v>
      </c>
      <c r="F35" s="6">
        <v>0.03</v>
      </c>
      <c r="G35" s="6">
        <v>0.3</v>
      </c>
      <c r="H35" s="6">
        <v>0.1</v>
      </c>
      <c r="I35" s="6">
        <f>N35*O35</f>
        <v>512</v>
      </c>
      <c r="J35" s="28" t="s">
        <v>34</v>
      </c>
      <c r="K35" s="19">
        <v>131072</v>
      </c>
      <c r="L35" s="6">
        <v>4</v>
      </c>
      <c r="M35" s="6">
        <v>8</v>
      </c>
      <c r="N35" s="6">
        <v>2</v>
      </c>
      <c r="O35" s="6">
        <v>256</v>
      </c>
      <c r="P35" s="28"/>
      <c r="Q35" s="28" t="s">
        <v>95</v>
      </c>
      <c r="R35" s="93">
        <v>133.57000600000001</v>
      </c>
      <c r="S35" s="93">
        <v>801.40128300000003</v>
      </c>
      <c r="T35" s="6">
        <v>12</v>
      </c>
      <c r="U35" s="6">
        <v>31558</v>
      </c>
      <c r="V35" s="6">
        <v>43515</v>
      </c>
      <c r="W35" s="6">
        <v>15559</v>
      </c>
      <c r="X35" s="6" t="s">
        <v>42</v>
      </c>
      <c r="Y35" s="6" t="s">
        <v>43</v>
      </c>
      <c r="Z35" s="6">
        <v>93.11</v>
      </c>
      <c r="AA35" s="6">
        <v>54.54</v>
      </c>
      <c r="AB35" s="6">
        <v>220.62</v>
      </c>
      <c r="AC35" s="6">
        <v>801.33</v>
      </c>
      <c r="AD35" s="6" t="s">
        <v>47</v>
      </c>
      <c r="AE35" s="74" t="s">
        <v>104</v>
      </c>
    </row>
    <row r="36" spans="1:31" s="6" customFormat="1" ht="16.95" customHeight="1" x14ac:dyDescent="0.3">
      <c r="A36" s="6">
        <v>29</v>
      </c>
      <c r="B36" s="11" t="s">
        <v>105</v>
      </c>
      <c r="C36" s="6" t="s">
        <v>32</v>
      </c>
      <c r="D36" s="6" t="s">
        <v>103</v>
      </c>
      <c r="E36" s="6">
        <v>8</v>
      </c>
      <c r="F36" s="6">
        <v>0.03</v>
      </c>
      <c r="G36" s="6">
        <v>0.3</v>
      </c>
      <c r="H36" s="6">
        <v>0.1</v>
      </c>
      <c r="I36" s="6">
        <f t="shared" ref="I36:I38" si="4">N36*O36</f>
        <v>512</v>
      </c>
      <c r="J36" s="28" t="s">
        <v>34</v>
      </c>
      <c r="K36" s="19">
        <v>131072</v>
      </c>
      <c r="L36" s="6">
        <v>4</v>
      </c>
      <c r="M36" s="6">
        <v>8</v>
      </c>
      <c r="N36" s="6">
        <v>4</v>
      </c>
      <c r="O36" s="6">
        <v>128</v>
      </c>
      <c r="P36" s="28"/>
      <c r="Q36" s="28" t="s">
        <v>95</v>
      </c>
      <c r="R36" s="93">
        <v>82.246827999999994</v>
      </c>
      <c r="S36" s="93">
        <v>493.469424</v>
      </c>
      <c r="T36" s="6">
        <v>14</v>
      </c>
      <c r="U36" s="6">
        <v>62580</v>
      </c>
      <c r="V36" s="6">
        <v>86021</v>
      </c>
      <c r="W36" s="6">
        <v>30987</v>
      </c>
      <c r="X36" s="6" t="s">
        <v>42</v>
      </c>
      <c r="Y36" s="6" t="s">
        <v>43</v>
      </c>
      <c r="Z36" s="6">
        <v>170.98</v>
      </c>
      <c r="AA36" s="6">
        <v>88.45</v>
      </c>
      <c r="AB36" s="6">
        <v>809.67</v>
      </c>
      <c r="AC36" s="6">
        <v>1125.3900000000001</v>
      </c>
      <c r="AD36" s="6" t="s">
        <v>47</v>
      </c>
      <c r="AE36" s="74" t="s">
        <v>106</v>
      </c>
    </row>
    <row r="37" spans="1:31" s="6" customFormat="1" ht="16.95" customHeight="1" x14ac:dyDescent="0.3">
      <c r="A37" s="6">
        <v>30</v>
      </c>
      <c r="B37" s="11" t="s">
        <v>107</v>
      </c>
      <c r="C37" s="6" t="s">
        <v>32</v>
      </c>
      <c r="D37" s="6" t="s">
        <v>103</v>
      </c>
      <c r="E37" s="6">
        <v>8</v>
      </c>
      <c r="F37" s="6">
        <v>0.03</v>
      </c>
      <c r="G37" s="6">
        <v>0.3</v>
      </c>
      <c r="H37" s="6">
        <v>0.1</v>
      </c>
      <c r="I37" s="6">
        <f t="shared" si="4"/>
        <v>512</v>
      </c>
      <c r="J37" s="28" t="s">
        <v>34</v>
      </c>
      <c r="K37" s="19">
        <v>131072</v>
      </c>
      <c r="L37" s="6">
        <v>4</v>
      </c>
      <c r="M37" s="6">
        <v>8</v>
      </c>
      <c r="N37" s="6">
        <v>8</v>
      </c>
      <c r="O37" s="6">
        <v>64</v>
      </c>
      <c r="P37" s="28"/>
      <c r="Q37" s="28" t="s">
        <v>95</v>
      </c>
      <c r="R37" s="93">
        <v>0.18355199999999999</v>
      </c>
      <c r="S37" s="93">
        <v>1.1012850000000001</v>
      </c>
      <c r="T37" s="6">
        <v>18</v>
      </c>
      <c r="U37" s="6">
        <v>124624</v>
      </c>
      <c r="V37" s="6">
        <v>171033</v>
      </c>
      <c r="W37" s="6">
        <v>61843</v>
      </c>
      <c r="X37" s="6" t="s">
        <v>42</v>
      </c>
      <c r="Y37" s="6" t="s">
        <v>43</v>
      </c>
      <c r="Z37" s="6">
        <v>107.53</v>
      </c>
      <c r="AA37" s="6">
        <v>46.79</v>
      </c>
      <c r="AB37" s="6">
        <v>4045.27</v>
      </c>
      <c r="AC37" s="6">
        <v>4239.91</v>
      </c>
      <c r="AD37" s="6" t="s">
        <v>47</v>
      </c>
      <c r="AE37" s="74" t="s">
        <v>108</v>
      </c>
    </row>
    <row r="38" spans="1:31" s="6" customFormat="1" ht="16.95" customHeight="1" x14ac:dyDescent="0.3">
      <c r="A38" s="6">
        <v>31</v>
      </c>
      <c r="B38" s="11" t="s">
        <v>109</v>
      </c>
      <c r="C38" s="6" t="s">
        <v>32</v>
      </c>
      <c r="D38" s="6" t="s">
        <v>103</v>
      </c>
      <c r="E38" s="6">
        <v>8</v>
      </c>
      <c r="F38" s="6">
        <v>0.03</v>
      </c>
      <c r="G38" s="6">
        <v>0.3</v>
      </c>
      <c r="H38" s="6">
        <v>0.1</v>
      </c>
      <c r="I38" s="6">
        <f t="shared" si="4"/>
        <v>512</v>
      </c>
      <c r="J38" s="28" t="s">
        <v>34</v>
      </c>
      <c r="K38" s="19">
        <v>131072</v>
      </c>
      <c r="L38" s="6">
        <v>4</v>
      </c>
      <c r="M38" s="6">
        <v>8</v>
      </c>
      <c r="N38" s="6">
        <v>16</v>
      </c>
      <c r="O38" s="6">
        <v>32</v>
      </c>
      <c r="P38" s="28"/>
      <c r="Q38" s="28" t="s">
        <v>95</v>
      </c>
      <c r="R38" s="93">
        <v>7.4400999999999995E-2</v>
      </c>
      <c r="S38" s="93">
        <v>0.44639699999999999</v>
      </c>
      <c r="T38" s="6">
        <v>26</v>
      </c>
      <c r="U38" s="6">
        <v>248712</v>
      </c>
      <c r="V38" s="6">
        <v>341057</v>
      </c>
      <c r="W38" s="6">
        <v>123555</v>
      </c>
      <c r="X38" s="6" t="s">
        <v>42</v>
      </c>
      <c r="Y38" s="6" t="s">
        <v>43</v>
      </c>
      <c r="Z38" s="6">
        <v>70.45</v>
      </c>
      <c r="AA38" s="6">
        <v>38.729999999999997</v>
      </c>
      <c r="AB38" s="6">
        <v>92685.09</v>
      </c>
      <c r="AC38" s="6">
        <v>92827.3</v>
      </c>
      <c r="AD38" s="6" t="s">
        <v>47</v>
      </c>
      <c r="AE38" s="74" t="s">
        <v>110</v>
      </c>
    </row>
    <row r="39" spans="1:31" s="39" customFormat="1" x14ac:dyDescent="0.3">
      <c r="B39" s="40" t="s">
        <v>111</v>
      </c>
      <c r="J39" s="41"/>
      <c r="K39" s="42"/>
      <c r="P39" s="41"/>
      <c r="Q39" s="41"/>
      <c r="R39" s="94"/>
      <c r="S39" s="94"/>
      <c r="AE39" s="75"/>
    </row>
    <row r="40" spans="1:31" s="7" customFormat="1" ht="16.95" customHeight="1" x14ac:dyDescent="0.3">
      <c r="A40" s="7">
        <v>32</v>
      </c>
      <c r="B40" s="12" t="s">
        <v>112</v>
      </c>
      <c r="C40" s="7" t="s">
        <v>32</v>
      </c>
      <c r="D40" s="7" t="s">
        <v>103</v>
      </c>
      <c r="E40" s="7">
        <v>8</v>
      </c>
      <c r="F40" s="7">
        <v>0.03</v>
      </c>
      <c r="G40" s="7">
        <v>0.3</v>
      </c>
      <c r="H40" s="7">
        <v>0.1</v>
      </c>
      <c r="I40" s="7">
        <f>N40*O40</f>
        <v>512</v>
      </c>
      <c r="J40" s="29" t="s">
        <v>34</v>
      </c>
      <c r="K40" s="20">
        <v>16384</v>
      </c>
      <c r="L40" s="7">
        <v>4</v>
      </c>
      <c r="M40" s="7">
        <v>8</v>
      </c>
      <c r="N40" s="7">
        <v>8</v>
      </c>
      <c r="O40" s="7">
        <v>64</v>
      </c>
      <c r="P40" s="29"/>
      <c r="Q40" s="29" t="s">
        <v>95</v>
      </c>
      <c r="R40" s="95">
        <v>60.881906999999998</v>
      </c>
      <c r="S40" s="95">
        <v>365.28289699999999</v>
      </c>
      <c r="T40" s="7">
        <v>18</v>
      </c>
      <c r="U40" s="7">
        <v>124624</v>
      </c>
      <c r="V40" s="7">
        <v>171033</v>
      </c>
      <c r="W40" s="7">
        <v>61843</v>
      </c>
      <c r="X40" s="7" t="s">
        <v>42</v>
      </c>
      <c r="Y40" s="7" t="s">
        <v>43</v>
      </c>
      <c r="Z40" s="7">
        <v>298.57</v>
      </c>
      <c r="AA40" s="7">
        <v>118.76</v>
      </c>
      <c r="AB40" s="7">
        <v>12746.61</v>
      </c>
      <c r="AC40" s="7">
        <v>13247.65</v>
      </c>
      <c r="AD40" s="7" t="s">
        <v>47</v>
      </c>
      <c r="AE40" s="76" t="s">
        <v>113</v>
      </c>
    </row>
    <row r="41" spans="1:31" s="7" customFormat="1" ht="16.95" customHeight="1" x14ac:dyDescent="0.3">
      <c r="A41" s="7">
        <v>33</v>
      </c>
      <c r="B41" s="12" t="s">
        <v>114</v>
      </c>
      <c r="C41" s="7" t="s">
        <v>32</v>
      </c>
      <c r="D41" s="7" t="s">
        <v>103</v>
      </c>
      <c r="E41" s="7">
        <v>8</v>
      </c>
      <c r="F41" s="7">
        <v>0.03</v>
      </c>
      <c r="G41" s="7">
        <v>0.3</v>
      </c>
      <c r="H41" s="7">
        <v>0.1</v>
      </c>
      <c r="I41" s="7">
        <f t="shared" ref="I41:I44" si="5">N41*O41</f>
        <v>512</v>
      </c>
      <c r="J41" s="29" t="s">
        <v>34</v>
      </c>
      <c r="K41" s="20">
        <v>65536</v>
      </c>
      <c r="L41" s="7">
        <v>4</v>
      </c>
      <c r="M41" s="7">
        <v>8</v>
      </c>
      <c r="N41" s="7">
        <v>8</v>
      </c>
      <c r="O41" s="7">
        <v>64</v>
      </c>
      <c r="P41" s="29"/>
      <c r="Q41" s="29" t="s">
        <v>95</v>
      </c>
      <c r="R41" s="95">
        <v>0.199902</v>
      </c>
      <c r="S41" s="95">
        <v>1.1993819999999999</v>
      </c>
      <c r="T41" s="7">
        <v>18</v>
      </c>
      <c r="U41" s="7">
        <v>124624</v>
      </c>
      <c r="V41" s="7">
        <v>171033</v>
      </c>
      <c r="W41" s="7">
        <v>61843</v>
      </c>
      <c r="X41" s="7" t="s">
        <v>42</v>
      </c>
      <c r="Y41" s="7" t="s">
        <v>43</v>
      </c>
      <c r="Z41" s="7">
        <v>243.68</v>
      </c>
      <c r="AA41" s="7">
        <v>96.16</v>
      </c>
      <c r="AB41" s="7">
        <v>12833.56</v>
      </c>
      <c r="AC41" s="7">
        <v>13257.85</v>
      </c>
      <c r="AD41" s="7" t="s">
        <v>47</v>
      </c>
      <c r="AE41" s="76" t="s">
        <v>115</v>
      </c>
    </row>
    <row r="42" spans="1:31" s="7" customFormat="1" ht="16.95" customHeight="1" x14ac:dyDescent="0.3">
      <c r="A42" s="7">
        <v>34</v>
      </c>
      <c r="B42" s="12" t="s">
        <v>116</v>
      </c>
      <c r="C42" s="7" t="s">
        <v>32</v>
      </c>
      <c r="D42" s="7" t="s">
        <v>103</v>
      </c>
      <c r="E42" s="7">
        <v>8</v>
      </c>
      <c r="F42" s="7">
        <v>0.03</v>
      </c>
      <c r="G42" s="7">
        <v>0.3</v>
      </c>
      <c r="H42" s="7">
        <v>0.1</v>
      </c>
      <c r="I42" s="7">
        <f t="shared" si="5"/>
        <v>512</v>
      </c>
      <c r="J42" s="29" t="s">
        <v>34</v>
      </c>
      <c r="K42" s="20">
        <v>131072</v>
      </c>
      <c r="L42" s="7">
        <v>4</v>
      </c>
      <c r="M42" s="7">
        <v>8</v>
      </c>
      <c r="N42" s="7">
        <v>8</v>
      </c>
      <c r="O42" s="7">
        <v>64</v>
      </c>
      <c r="P42" s="29"/>
      <c r="Q42" s="29" t="s">
        <v>95</v>
      </c>
      <c r="R42" s="95">
        <v>0.18355199999999999</v>
      </c>
      <c r="S42" s="95">
        <v>1.1012850000000001</v>
      </c>
      <c r="T42" s="7">
        <v>18</v>
      </c>
      <c r="U42" s="7">
        <v>124624</v>
      </c>
      <c r="V42" s="7">
        <v>171033</v>
      </c>
      <c r="W42" s="7">
        <v>61843</v>
      </c>
      <c r="X42" s="7" t="s">
        <v>42</v>
      </c>
      <c r="Y42" s="7" t="s">
        <v>43</v>
      </c>
      <c r="Z42" s="7">
        <v>285.98</v>
      </c>
      <c r="AA42" s="7">
        <v>119.43</v>
      </c>
      <c r="AB42" s="7">
        <v>12762.77</v>
      </c>
      <c r="AC42" s="7">
        <v>13257.83</v>
      </c>
      <c r="AD42" s="7" t="s">
        <v>47</v>
      </c>
      <c r="AE42" s="76" t="s">
        <v>117</v>
      </c>
    </row>
    <row r="43" spans="1:31" s="7" customFormat="1" ht="16.95" customHeight="1" x14ac:dyDescent="0.3">
      <c r="A43" s="7">
        <v>35</v>
      </c>
      <c r="B43" s="12" t="s">
        <v>118</v>
      </c>
      <c r="C43" s="7" t="s">
        <v>32</v>
      </c>
      <c r="D43" s="7" t="s">
        <v>103</v>
      </c>
      <c r="E43" s="7">
        <v>8</v>
      </c>
      <c r="F43" s="7">
        <v>0.03</v>
      </c>
      <c r="G43" s="7">
        <v>0.3</v>
      </c>
      <c r="H43" s="7">
        <v>0.1</v>
      </c>
      <c r="I43" s="7">
        <f t="shared" si="5"/>
        <v>512</v>
      </c>
      <c r="J43" s="29" t="s">
        <v>34</v>
      </c>
      <c r="K43" s="20">
        <v>524288</v>
      </c>
      <c r="L43" s="7">
        <v>4</v>
      </c>
      <c r="M43" s="7">
        <v>8</v>
      </c>
      <c r="N43" s="7">
        <v>8</v>
      </c>
      <c r="O43" s="7">
        <v>64</v>
      </c>
      <c r="P43" s="29"/>
      <c r="Q43" s="29" t="s">
        <v>95</v>
      </c>
      <c r="R43" s="95">
        <v>8.6906999999999998E-2</v>
      </c>
      <c r="S43" s="95">
        <v>0.52142999999999995</v>
      </c>
      <c r="T43" s="7">
        <v>18</v>
      </c>
      <c r="U43" s="7">
        <v>124624</v>
      </c>
      <c r="V43" s="7">
        <v>171033</v>
      </c>
      <c r="W43" s="7">
        <v>61843</v>
      </c>
      <c r="X43" s="7" t="s">
        <v>42</v>
      </c>
      <c r="Y43" s="7" t="s">
        <v>43</v>
      </c>
      <c r="Z43" s="7">
        <v>358.19</v>
      </c>
      <c r="AA43" s="7">
        <v>145.19999999999999</v>
      </c>
      <c r="AB43" s="7">
        <v>12616.34</v>
      </c>
      <c r="AC43" s="7">
        <v>13218.02</v>
      </c>
      <c r="AD43" s="7" t="s">
        <v>47</v>
      </c>
      <c r="AE43" s="76" t="s">
        <v>119</v>
      </c>
    </row>
    <row r="44" spans="1:31" s="7" customFormat="1" ht="16.95" customHeight="1" x14ac:dyDescent="0.3">
      <c r="A44" s="7">
        <v>36</v>
      </c>
      <c r="B44" s="12" t="s">
        <v>120</v>
      </c>
      <c r="C44" s="7" t="s">
        <v>32</v>
      </c>
      <c r="D44" s="7" t="s">
        <v>103</v>
      </c>
      <c r="E44" s="7">
        <v>8</v>
      </c>
      <c r="F44" s="7">
        <v>0.03</v>
      </c>
      <c r="G44" s="7">
        <v>0.3</v>
      </c>
      <c r="H44" s="7">
        <v>0.1</v>
      </c>
      <c r="I44" s="7">
        <f t="shared" si="5"/>
        <v>512</v>
      </c>
      <c r="J44" s="29" t="s">
        <v>34</v>
      </c>
      <c r="K44" s="20">
        <v>1048576</v>
      </c>
      <c r="L44" s="7">
        <v>4</v>
      </c>
      <c r="M44" s="7">
        <v>8</v>
      </c>
      <c r="N44" s="7">
        <v>8</v>
      </c>
      <c r="O44" s="7">
        <v>64</v>
      </c>
      <c r="P44" s="29"/>
      <c r="Q44" s="29" t="s">
        <v>95</v>
      </c>
      <c r="R44" s="95">
        <v>4.7698999999999998E-2</v>
      </c>
      <c r="S44" s="95">
        <v>0.286186</v>
      </c>
      <c r="T44" s="7">
        <v>18</v>
      </c>
      <c r="U44" s="7">
        <v>124624</v>
      </c>
      <c r="V44" s="7">
        <v>171033</v>
      </c>
      <c r="W44" s="7">
        <v>61843</v>
      </c>
      <c r="X44" s="7" t="s">
        <v>42</v>
      </c>
      <c r="Y44" s="7" t="s">
        <v>43</v>
      </c>
      <c r="Z44" s="7">
        <v>274.97000000000003</v>
      </c>
      <c r="AA44" s="7">
        <v>118.92</v>
      </c>
      <c r="AB44" s="7">
        <v>12772.73</v>
      </c>
      <c r="AC44" s="7">
        <v>13259.02</v>
      </c>
      <c r="AD44" s="7" t="s">
        <v>47</v>
      </c>
      <c r="AE44" s="76" t="s">
        <v>121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Gore, Ishan (GE Aerospace, US)</cp:lastModifiedBy>
  <dcterms:created xsi:type="dcterms:W3CDTF">2026-08-23T19:57:25Z</dcterms:created>
  <dcterms:modified xsi:type="dcterms:W3CDTF">2026-08-31T17:28:07Z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Enabled">
    <vt:lpwstr>true</vt:lpwstr>
  </property>
  <property fmtid="{D5CDD505-2E9C-101B-9397-08002B2CF9AE}" pid="3" name="MSIP_Label_93b68801-e10f-48d9-9ed4-5d8b7b3ccbcf_SetDate">
    <vt:lpwstr>2026-08-23T19:38:54Z</vt:lpwstr>
  </property>
  <property fmtid="{D5CDD505-2E9C-101B-9397-08002B2CF9AE}" pid="4" name="MSIP_Label_93b68801-e10f-48d9-9ed4-5d8b7b3ccbcf_Method">
    <vt:lpwstr>Standard</vt:lpwstr>
  </property>
  <property fmtid="{D5CDD505-2E9C-101B-9397-08002B2CF9AE}" pid="5" name="MSIP_Label_93b68801-e10f-48d9-9ed4-5d8b7b3ccbcf_Name">
    <vt:lpwstr>GE Aerospace - Sensitive</vt:lpwstr>
  </property>
  <property fmtid="{D5CDD505-2E9C-101B-9397-08002B2CF9AE}" pid="6" name="MSIP_Label_93b68801-e10f-48d9-9ed4-5d8b7b3ccbcf_SiteId">
    <vt:lpwstr>86b871ed-f0e7-4126-9bf4-5ee5cf19e256</vt:lpwstr>
  </property>
  <property fmtid="{D5CDD505-2E9C-101B-9397-08002B2CF9AE}" pid="7" name="MSIP_Label_93b68801-e10f-48d9-9ed4-5d8b7b3ccbcf_ActionId">
    <vt:lpwstr>c79a836c-46a2-4e38-ace3-8461424e3eb5</vt:lpwstr>
  </property>
  <property fmtid="{D5CDD505-2E9C-101B-9397-08002B2CF9AE}" pid="8" name="MSIP_Label_93b68801-e10f-48d9-9ed4-5d8b7b3ccbcf_ContentBits">
    <vt:lpwstr>0</vt:lpwstr>
  </property>
  <property fmtid="{D5CDD505-2E9C-101B-9397-08002B2CF9AE}" pid="9" name="MSIP_Label_93b68801-e10f-48d9-9ed4-5d8b7b3ccbcf_Tag">
    <vt:lpwstr>50, 3, 0, 1</vt:lpwstr>
  </property>
</Properties>
</file>