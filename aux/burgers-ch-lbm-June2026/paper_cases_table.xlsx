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23107543\Downloads\"/>
    </mc:Choice>
  </mc:AlternateContent>
  <xr:revisionPtr revIDLastSave="0" documentId="13_ncr:1_{D7AAF73E-5E88-4660-B780-51E503C18BEA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Paper cases" sheetId="1" r:id="rId1"/>
    <sheet name="CH nu-domain (Re sweep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2" i="1" l="1"/>
  <c r="I62" i="1"/>
  <c r="J59" i="1"/>
  <c r="I59" i="1"/>
  <c r="J61" i="1"/>
  <c r="I61" i="1"/>
  <c r="J60" i="1"/>
  <c r="I60" i="1"/>
  <c r="J58" i="1"/>
  <c r="I58" i="1"/>
  <c r="J57" i="1"/>
  <c r="I57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5" i="1"/>
  <c r="I45" i="1"/>
  <c r="J44" i="1"/>
  <c r="I44" i="1"/>
  <c r="J43" i="1"/>
  <c r="I43" i="1"/>
  <c r="J42" i="1"/>
  <c r="I42" i="1"/>
  <c r="J41" i="1"/>
  <c r="I41" i="1"/>
  <c r="J39" i="1"/>
  <c r="I39" i="1"/>
  <c r="J38" i="1"/>
  <c r="I38" i="1"/>
  <c r="J37" i="1"/>
  <c r="I37" i="1"/>
  <c r="J36" i="1"/>
  <c r="I36" i="1"/>
  <c r="J34" i="1"/>
  <c r="I34" i="1"/>
  <c r="J33" i="1"/>
  <c r="I33" i="1"/>
  <c r="J32" i="1"/>
  <c r="I32" i="1"/>
  <c r="J31" i="1"/>
  <c r="I31" i="1"/>
  <c r="J29" i="1"/>
  <c r="I29" i="1"/>
  <c r="J28" i="1"/>
  <c r="I28" i="1"/>
  <c r="J27" i="1"/>
  <c r="I27" i="1"/>
  <c r="J26" i="1"/>
  <c r="I26" i="1"/>
  <c r="J25" i="1"/>
  <c r="I25" i="1"/>
  <c r="J24" i="1"/>
  <c r="I24" i="1"/>
  <c r="J22" i="1"/>
  <c r="I22" i="1"/>
  <c r="J21" i="1"/>
  <c r="I21" i="1"/>
  <c r="J20" i="1"/>
  <c r="I20" i="1"/>
  <c r="J19" i="1"/>
  <c r="I19" i="1"/>
  <c r="J18" i="1"/>
  <c r="I18" i="1"/>
  <c r="J17" i="1"/>
  <c r="I17" i="1"/>
  <c r="J15" i="1"/>
  <c r="I15" i="1"/>
  <c r="J14" i="1"/>
  <c r="I14" i="1"/>
  <c r="J13" i="1"/>
  <c r="I13" i="1"/>
  <c r="J12" i="1"/>
  <c r="I12" i="1"/>
  <c r="J11" i="1"/>
  <c r="I11" i="1"/>
  <c r="J10" i="1"/>
  <c r="I10" i="1"/>
  <c r="J8" i="1"/>
  <c r="I8" i="1"/>
  <c r="J7" i="1"/>
  <c r="I7" i="1"/>
  <c r="J6" i="1"/>
  <c r="I6" i="1"/>
  <c r="J5" i="1"/>
  <c r="I5" i="1"/>
  <c r="J4" i="1"/>
  <c r="I4" i="1"/>
  <c r="J3" i="1"/>
  <c r="I3" i="1"/>
</calcChain>
</file>

<file path=xl/sharedStrings.xml><?xml version="1.0" encoding="utf-8"?>
<sst xmlns="http://schemas.openxmlformats.org/spreadsheetml/2006/main" count="672" uniqueCount="235">
  <si>
    <t>#</t>
  </si>
  <si>
    <t>Case</t>
  </si>
  <si>
    <t>Method</t>
  </si>
  <si>
    <t>Backend / target</t>
  </si>
  <si>
    <t>q</t>
  </si>
  <si>
    <t>nu</t>
  </si>
  <si>
    <t>A</t>
  </si>
  <si>
    <t>cfl</t>
  </si>
  <si>
    <t>steps</t>
  </si>
  <si>
    <t>Re</t>
  </si>
  <si>
    <t>Shots</t>
  </si>
  <si>
    <t>Bond dim</t>
  </si>
  <si>
    <t>Phi modes</t>
  </si>
  <si>
    <t>In-segment k</t>
  </si>
  <si>
    <t>Segments</t>
  </si>
  <si>
    <t>Mitigation</t>
  </si>
  <si>
    <t>Paper ref</t>
  </si>
  <si>
    <t>L2 (RMS vs FTCS 800)</t>
  </si>
  <si>
    <t>L2 (rel vs FTCS 800)</t>
  </si>
  <si>
    <t>q (actual)</t>
  </si>
  <si>
    <t>circuit depth</t>
  </si>
  <si>
    <t>gate s</t>
  </si>
  <si>
    <t>2-qubit gates</t>
  </si>
  <si>
    <t>classical host</t>
  </si>
  <si>
    <t>user</t>
  </si>
  <si>
    <t>construct s</t>
  </si>
  <si>
    <t>transpile s</t>
  </si>
  <si>
    <t>execute s</t>
  </si>
  <si>
    <t>wall s</t>
  </si>
  <si>
    <t>Notes</t>
  </si>
  <si>
    <t>results/ dir</t>
  </si>
  <si>
    <t>Fig. 1: CH vs. QLBM / QALB</t>
  </si>
  <si>
    <t>ab-q4/burgers_ab_mutual_q4_nu030.toml</t>
  </si>
  <si>
    <t>CH</t>
  </si>
  <si>
    <t>IBM Aer sim</t>
  </si>
  <si>
    <t>Fig. 1</t>
  </si>
  <si>
    <t>Mac</t>
  </si>
  <si>
    <t>agallojr</t>
  </si>
  <si>
    <t>burgers-ch-lbm-June2026/local-mac/q4/burgers_ab_mutual_q4_nu030/ddbc6df6</t>
  </si>
  <si>
    <t>ab-q6/burgers_ab_mutual_q6_nu030.toml</t>
  </si>
  <si>
    <t>burgers-ch-lbm-June2026/local-mac/q6/burgers_ab_mutual_q6_nu030/92fc1ac8</t>
  </si>
  <si>
    <t>ab-q8/burgers_ab_mutual_q8_nu030.toml</t>
  </si>
  <si>
    <t>AWS</t>
  </si>
  <si>
    <t>ishangore</t>
  </si>
  <si>
    <t>burgers-ch-lbm-June2026/burgers_ab/burgers_ab_mutual_q8_nu030/2026-06-17/_3b2adb3c/3246dc9c</t>
  </si>
  <si>
    <t>QLBM / QALB</t>
  </si>
  <si>
    <t>n/a</t>
  </si>
  <si>
    <t xml:space="preserve"> </t>
  </si>
  <si>
    <t>burgers-ch-lbm-June2026/local-mac/q4/burgers_ab_mutual_q4_nu030/2b7e72c1</t>
  </si>
  <si>
    <t>burgers-ch-lbm-June2026/local-mac/q6/burgers_ab_mutual_q6_nu030/ce29cbe4</t>
  </si>
  <si>
    <t>burgers-ch-lbm-June2026/burgers_ab/burgers_ab_mutual_q8_nu030/2026-06-17/_3b2adb3c/480d037d</t>
  </si>
  <si>
    <t>M1: another case, no figure, paper mentions</t>
  </si>
  <si>
    <t>ab-q4/burgers_ab_show_q4_qlbm_margin.toml</t>
  </si>
  <si>
    <t>Sec IV</t>
  </si>
  <si>
    <t>burgers-ch-lbm-June2026/local-mac/q4/burgers_ab_show_q4_qlbm_margin/3d09f09b</t>
  </si>
  <si>
    <t>ab-q6/burgers_ab_show_q6_qlbm_margin.toml</t>
  </si>
  <si>
    <t>burgers-ch-lbm-June2026/local-mac/q6/burgers_ab_show_q6_qlbm_margin/7b4868ec</t>
  </si>
  <si>
    <t>ab-q8/burgers_ab_show_q8_qlbm_margin.toml</t>
  </si>
  <si>
    <t>burgers-ch-lbm-June2026/burgers_ab/burgers_ab_show_q8_qlbm_margin/2026-06-17/_ff5c043d/5d2b518c</t>
  </si>
  <si>
    <t>burgers-ch-lbm-June2026/local-mac/q4/burgers_ab_show_q4_qlbm_margin/fa54540f</t>
  </si>
  <si>
    <t>burgers-ch-lbm-June2026/local-mac/q6/burgers_ab_show_q6_qlbm_margin/19c4e1f5</t>
  </si>
  <si>
    <t>burgers-ch-lbm-June2026/burgers_ab/burgers_ab_show_q8_qlbm_margin/2026-06-17/_ff5c043d/b746c4ef</t>
  </si>
  <si>
    <t>M2: another case, no figure, paper mentions</t>
  </si>
  <si>
    <t>ab-q4/burgers_ab_shock_q4.toml</t>
  </si>
  <si>
    <t>burgers-ch-lbm-June2026/local-mac/q4/burgers_ab_shock_q4/7ec8cce4</t>
  </si>
  <si>
    <t>ab-q6/burgers_ab_shock_q6.toml</t>
  </si>
  <si>
    <t>burgers-ch-lbm-June2026/local-mac/q6/burgers_ab_shock_q6/616e481d</t>
  </si>
  <si>
    <t>ab-q8/burgers_ab_shock_q8.toml</t>
  </si>
  <si>
    <t>burgers-ch-lbm-June2026/burgers_ab/burgers_ab_shock_q8/2026-06-17/_9591f865/0dbb1eac</t>
  </si>
  <si>
    <t>burgers-ch-lbm-June2026/local-mac/q4/burgers_ab_shock_q4/550f8a22</t>
  </si>
  <si>
    <t>burgers-ch-lbm-June2026/local-mac/q6/burgers_ab_shock_q6/02c8c0a9</t>
  </si>
  <si>
    <t>burgers-ch-lbm-June2026/burgers_ab/burgers_ab_shock_q8/2026-06-17/_9591f865/d0db29d8</t>
  </si>
  <si>
    <t>Fig. 2 - CH on real QC</t>
  </si>
  <si>
    <t>ch-q4-hw/burgers_ch_hw_smooth.toml</t>
  </si>
  <si>
    <t>ibm_kingston (Heron R2)</t>
  </si>
  <si>
    <t>TREX+DD</t>
  </si>
  <si>
    <t>Fig. 2</t>
  </si>
  <si>
    <t>Win laptop</t>
  </si>
  <si>
    <t>melvi</t>
  </si>
  <si>
    <t>burgers-ch-lbm-June2026/real-qc/hardware_runs/smooth_movie_kingston</t>
  </si>
  <si>
    <t>ibm_fez (Heron R2)</t>
  </si>
  <si>
    <t>burgers-ch-lbm-June2026/real-qc/hardware_runs/smooth_movie_fez</t>
  </si>
  <si>
    <t>ibm_boston (Heron R3)</t>
  </si>
  <si>
    <t>burgers-ch-lbm-June2026/real-qc/hardware_runs/smooth_movie_boston</t>
  </si>
  <si>
    <t>ibm_miami (Nighthawk R1)</t>
  </si>
  <si>
    <t>burgers-ch-lbm-June2026/real-qc/hardware_runs/smooth_movie_miami</t>
  </si>
  <si>
    <t>burgers_smooth_movie_sim.toml</t>
  </si>
  <si>
    <t>burgers-ch-lbm-June2026/local-mac/q3/burgers_smooth_movie_sim/d2ec49ec</t>
  </si>
  <si>
    <t>burgers-ch-lbm-June2026/local-mac/q3/burgers_smooth_movie_sim/cd872d62</t>
  </si>
  <si>
    <t>C0: Single time segment, k=512 internal steps</t>
  </si>
  <si>
    <t>C0 sv_floor · shots=0</t>
  </si>
  <si>
    <t>IBM Aer sim (OLCF Frontier)</t>
  </si>
  <si>
    <t>post-paper</t>
  </si>
  <si>
    <t>Frontier</t>
  </si>
  <si>
    <t>burgers-ch-lbm/ch_q8_c0/2026-08-06/_a66942a3/1f33d059</t>
  </si>
  <si>
    <t>26b</t>
  </si>
  <si>
    <t>IBM Aer sim (Mac)</t>
  </si>
  <si>
    <t>Rerun of case 26 on optimized codebase (QFT/iQFT layer collapse, commit 557b27a+); L2 unchanged vs case 26 (delta ~2e-11), wall 39.87 s vs 221.77 s (~5.6x).</t>
  </si>
  <si>
    <t>burgers-ch-lbm/ch_q8_c0/2026-09-02/case26b_shots0</t>
  </si>
  <si>
    <t>26a</t>
  </si>
  <si>
    <t>C0 sv_floor · shots=131072</t>
  </si>
  <si>
    <t>TIMED OUT on Frontier</t>
  </si>
  <si>
    <t>burgers-ch-lbm/ch_q8_c0/2026-08-06/_a66942a3/b434e188</t>
  </si>
  <si>
    <t>Rerun of above run</t>
  </si>
  <si>
    <t>burgers-ch-lbm/ch_q8_c0/2026-08-28/_2c04f665/89d9be42</t>
  </si>
  <si>
    <t>C1: CH segment vs k seam study</t>
  </si>
  <si>
    <t>C1 seam · k=2</t>
  </si>
  <si>
    <t>IBM Aer sim (AWS EC2)</t>
  </si>
  <si>
    <t>burgers-ch-lbm/ch_q8_c1/2026-08-11/_b5c8743c/2a3cbfeb</t>
  </si>
  <si>
    <t>C1 seam · k=4</t>
  </si>
  <si>
    <t>burgers-ch-lbm/ch_q8_c1/2026-08-11/_b5c8743c/b15a9654</t>
  </si>
  <si>
    <t>C1 seam · k=8</t>
  </si>
  <si>
    <t>burgers-ch-lbm/ch_q8_c1/2026-08-11/_b5c8743c/39a1f5ab</t>
  </si>
  <si>
    <t>C1 seam · k=16</t>
  </si>
  <si>
    <t>burgers-ch-lbm/ch_q8_c1/2026-08-11/_b5c8743c/fe96b52e</t>
  </si>
  <si>
    <t>C2: CH shots study</t>
  </si>
  <si>
    <t>C2 shots-ladder · shots=16384</t>
  </si>
  <si>
    <t>burgers-ch-lbm/ch_q8_c2_k8/2026-08-12/_6fade974/c1e5d7e4</t>
  </si>
  <si>
    <t>C2 shots-ladder · shots=65536</t>
  </si>
  <si>
    <t>burgers-ch-lbm/ch_q8_c2_k8/2026-08-12/_6fade974/00e609d3</t>
  </si>
  <si>
    <t>C2 shots-ladder · shots=131072</t>
  </si>
  <si>
    <t>burgers-ch-lbm/ch_q8_c2_k8/2026-08-12/_6fade974/1cc667ab</t>
  </si>
  <si>
    <t>C2 shots-ladder · shots=524288</t>
  </si>
  <si>
    <t>burgers-ch-lbm/ch_q8_c2_k8/2026-08-12/_6fade974/3dcb7c60</t>
  </si>
  <si>
    <t>C2 shots-ladder · shots=1048576</t>
  </si>
  <si>
    <t>burgers-ch-lbm/ch_q8_c2_k8/2026-08-12/_6fade974/70416813</t>
  </si>
  <si>
    <t>C1B: CH segment vs k seam study (collapse code)</t>
  </si>
  <si>
    <t>C1B seam · k=2</t>
  </si>
  <si>
    <t>burgers-ch-lbm/ch_q8_c1B/2026-09-02/_2ce06310/33ac19e1</t>
  </si>
  <si>
    <t>C1B seam · k=4</t>
  </si>
  <si>
    <t>burgers-ch-lbm/ch_q8_c1B/2026-09-02/_2ce06310/5e5f7044</t>
  </si>
  <si>
    <t>C1B seam · k=8</t>
  </si>
  <si>
    <t>burgers-ch-lbm/ch_q8_c1B/2026-09-02/_2ce06310/b02c20a9</t>
  </si>
  <si>
    <t>C1B seam · k=16</t>
  </si>
  <si>
    <t>burgers-ch-lbm/ch_q8_c1B/2026-09-02/_2ce06310/da541b56</t>
  </si>
  <si>
    <t>C1B seam · k=32</t>
  </si>
  <si>
    <t>burgers-ch-lbm/ch_q8_c1B/2026-09-02/_2ce06310/c7de3fcc</t>
  </si>
  <si>
    <t>C1B seam · k=64</t>
  </si>
  <si>
    <t>burgers-ch-lbm/ch_q8_c1B/2026-09-02/_2ce06310/8fb4053f</t>
  </si>
  <si>
    <t>C1B seam · k=128</t>
  </si>
  <si>
    <t>burgers-ch-lbm/ch_q8_c1B/2026-09-02/_2ce06310/39ebcbdc</t>
  </si>
  <si>
    <t>C1B seam · k=256</t>
  </si>
  <si>
    <t>burgers-ch-lbm/ch_q8_c1B/2026-09-02/_2ce06310/e2c8566d</t>
  </si>
  <si>
    <t>C1B seam · k=512</t>
  </si>
  <si>
    <t>burgers-ch-lbm/ch_q8_c1B/2026-09-02/_2ce06310/8e58998d</t>
  </si>
  <si>
    <t>IBM Aer sim (AWS Batch)</t>
  </si>
  <si>
    <t>AWS Batch</t>
  </si>
  <si>
    <t>Collapse rerun of case 1 (CH q4). Collapse ON: 7 q / depth 808 / 247 CX vs June 10 q / 3046 / 1006 CX. L2 = final-frame canonical relL2 (||a-b||/||b||, make_plots_vs_ftcs.py), NOT the June Fig.1 plotting-pipeline metric — do not read a CH regression vs rows 3-8.</t>
  </si>
  <si>
    <t>burgers-ch-lbm/ch_fig1_ab_mutual_q4/2026-09-03/_0daaf069/b7509f5c</t>
  </si>
  <si>
    <t>Collapse rerun of case 2 (CH q6): 10 q / depth 4438 / 1606 CX vs June 14 q / 16602 / 6628 CX. L2 = final-frame canonical relL2 (||a-b||/||b||, make_plots_vs_ftcs.py), NOT the June Fig.1 plotting-pipeline metric — do not read a CH regression vs rows 3-8.</t>
  </si>
  <si>
    <t>burgers-ch-lbm/ch_fig1_ab_mutual_q6/2026-09-03/_d61160a7/90fe44cd</t>
  </si>
  <si>
    <t>Collapse rerun of case 4 (QLBM q4). QLBM path untouched by collapse: circuit identical to June (9 q / 119440 CX) and relL2 0.6043 bit-reproduces June. tau=0.98&lt;=1 at N=16 =&gt; QALB divergent regime (expected degradation, not a failure).</t>
  </si>
  <si>
    <t>burgers-ch-lbm/ch_fig1_ab_mutual_q4/2026-09-03/_0daaf069/42a3615a</t>
  </si>
  <si>
    <t>Collapse rerun of case 5 (QLBM q6). QLBM untouched by collapse; circuit identical to June, relL2 0.0985 recovers (tau=2.42, out of divergent regime).</t>
  </si>
  <si>
    <t>burgers-ch-lbm/ch_fig1_ab_mutual_q6/2026-09-03/_d61160a7/2c2561e4</t>
  </si>
  <si>
    <t>Collapse rerun of case 3 (CH q8). Collapse ON: 13 q / depth 21944 / 9416 CX vs June 17 q / 84156 / 40272 CX (~4.3x fewer 2q gates). DIVERGED at this op point: relL2 1.615, u_final overshoots to +1.12/-0.79 vs physical +/-0.25 -- bit-reproduces June's diverged CH q8 (row 5), a known-bad point, NOT a new failure. L2 = final-frame canonical relL2 (||a-b||/||b||, make_plots_vs_ftcs.py). (matches row 5 exactly here.)</t>
  </si>
  <si>
    <t>burgers-ch-lbm/ch_fig1_ab_mutual_q8/2026-09-03/_3da12f29/7fd5a918</t>
  </si>
  <si>
    <t>Collapse rerun of case 6 (QLBM q8). QLBM untouched by collapse: circuit identical to June (9 q / 119440 CX) and relL2 0.3275 bit-reproduces June (tau=8.18, healthy). Wall 3401 s dominated by 10240 dense-collision circuits.</t>
  </si>
  <si>
    <t>burgers-ch-lbm/ch_fig1_ab_mutual_q8/2026-09-03/_3da12f29/4ab5be3a</t>
  </si>
  <si>
    <t>L2 (rel vs FTCS)</t>
  </si>
  <si>
    <t>cos</t>
  </si>
  <si>
    <t>FTCS ref-points</t>
  </si>
  <si>
    <t>FTCS grid</t>
  </si>
  <si>
    <t>pts/shock (ref)</t>
  </si>
  <si>
    <t>verdict</t>
  </si>
  <si>
    <t>good</t>
  </si>
  <si>
    <t>results/burgers-ch-lbm/ch_q8_nu_domain_single/2026-09-02/_ce436320/06c51167</t>
  </si>
  <si>
    <t>results/burgers-ch-lbm/ch_q8_nu_domain_single/2026-09-02/_ce436320/fe7a219e</t>
  </si>
  <si>
    <t>results/burgers-ch-lbm/ch_q8_nu_domain_single/2026-09-02/_ce436320/348e98f5</t>
  </si>
  <si>
    <t>results/burgers-ch-lbm/ch_q8_nu_domain_single/2026-09-02/_ce436320/fd1a816f</t>
  </si>
  <si>
    <t>results/burgers-ch-lbm/ch_q8_nu_domain_single/2026-09-02/_ce436320/30cbb15a</t>
  </si>
  <si>
    <t>results/burgers-ch-lbm/ch_q8_nu_domain_single/2026-09-02/_ce436320/9c1fdede</t>
  </si>
  <si>
    <t>results/burgers-ch-lbm/ch_q8_nu_domain_single/2026-09-02/_ce436320/228678ea</t>
  </si>
  <si>
    <t>results/burgers-ch-lbm/ch_q8_nu_domain_single/2026-09-02/_ce436320/e6304c93</t>
  </si>
  <si>
    <t>results/burgers-ch-lbm/ch_q8_nu_domain_single/2026-09-02/_ce436320/f10c17bc</t>
  </si>
  <si>
    <t>results/burgers-ch-lbm/ch_q8_nu_domain_single/2026-09-02/_ce436320/1fe02bfd</t>
  </si>
  <si>
    <t>results/burgers-ch-lbm/ch_q8_nu_domain_single/2026-09-02/_ce436320/7ce83601</t>
  </si>
  <si>
    <t>results/burgers-ch-lbm/ch_q8_nu_domain_single/2026-09-02/_ce436320/9c3d431d</t>
  </si>
  <si>
    <t>results/burgers-ch-lbm/ch_q8_nu_domain_single/2026-09-02/_83f4f49e/0db1b897</t>
  </si>
  <si>
    <t>diverged</t>
  </si>
  <si>
    <t>results/burgers-ch-lbm/ch_q8_nu_domain_single/2026-09-02/_83f4f49e/1119f098</t>
  </si>
  <si>
    <t>results/burgers-ch-lbm/ch_q8_nu_domain_single/2026-09-02/_83f4f49e/460ff75e</t>
  </si>
  <si>
    <t>results/burgers-ch-lbm/ch_q8_nu_domain_single/2026-09-02/_83f4f49e/3e031de3</t>
  </si>
  <si>
    <t>results/burgers-ch-lbm/ch_q8_nu_domain_single/2026-09-02/_83f4f49e/7d1bee00</t>
  </si>
  <si>
    <t>results/burgers-ch-lbm/ch_q8_nu_domain_single/2026-09-02/_c2442f4c/92c74292</t>
  </si>
  <si>
    <t>results/burgers-ch-lbm/ch_q8_nu_domain_single/2026-09-02/_c2442f4c/5c31ff15</t>
  </si>
  <si>
    <t>results/burgers-ch-lbm/ch_q8_nu_domain_single/2026-09-02/_c2442f4c/4431d434</t>
  </si>
  <si>
    <t>results/burgers-ch-lbm/ch_q8_nu_domain_single/2026-09-02/_c2442f4c/9614465d</t>
  </si>
  <si>
    <t>results/burgers-ch-lbm/ch_q8_nu_domain_single/2026-09-02/_c2442f4c/fa665f66</t>
  </si>
  <si>
    <t>results/burgers-ch-lbm/ch_q8_nu_domain_single/2026-09-02/_ce436320/300efc8e</t>
  </si>
  <si>
    <t>results/burgers-ch-lbm/ch_q8_nu_domain_single/2026-09-02/_ce436320/28063519</t>
  </si>
  <si>
    <t>results/burgers-ch-lbm/ch_q8_nu_domain_single/2026-09-02/_ce436320/ab5fb73e</t>
  </si>
  <si>
    <t>results/burgers-ch-lbm/ch_q8_nu_domain_single/2026-09-02/_ce436320/330635af</t>
  </si>
  <si>
    <t>results/burgers-ch-lbm/ch_q8_nu_domain_single/2026-09-02/_ce436320/94e8ac7b</t>
  </si>
  <si>
    <t>results/burgers-ch-lbm/ch_q8_nu_domain_single/2026-09-02/_ce436320/7540deb4</t>
  </si>
  <si>
    <t>results/burgers-ch-lbm/ch_q8_nu_domain_single/2026-09-02/_ce436320/275a1e38</t>
  </si>
  <si>
    <t>results/burgers-ch-lbm/ch_q8_nu_domain_single/2026-09-02/_ce436320/31f791e0</t>
  </si>
  <si>
    <t>results/burgers-ch-lbm/ch_q8_nu_domain_single/2026-09-02/_ce436320/9f687915</t>
  </si>
  <si>
    <t>results/burgers-ch-lbm/ch_q8_nu_domain_single/2026-09-02/_ce436320/a2831fc2</t>
  </si>
  <si>
    <t>results/burgers-ch-lbm/ch_q8_nu_domain_single/2026-09-02/_ce436320/4284386d</t>
  </si>
  <si>
    <t>results/burgers-ch-lbm/ch_q8_nu_domain_single/2026-09-02/_ce436320/4aacc4bd</t>
  </si>
  <si>
    <t>results/burgers-ch-lbm/ch_q8_nu_domain_single/2026-09-02/_83f4f49e/859a069e</t>
  </si>
  <si>
    <t>results/burgers-ch-lbm/ch_q8_nu_domain_single/2026-09-02/_83f4f49e/7ea4ec41</t>
  </si>
  <si>
    <t>marginal</t>
  </si>
  <si>
    <t>results/burgers-ch-lbm/ch_q8_nu_domain_single/2026-09-02/_83f4f49e/ef257f64</t>
  </si>
  <si>
    <t>results/burgers-ch-lbm/ch_q8_nu_domain_single/2026-09-02/_83f4f49e/9e91f02d</t>
  </si>
  <si>
    <t>results/burgers-ch-lbm/ch_q8_nu_domain_single/2026-09-02/_83f4f49e/60ece56b</t>
  </si>
  <si>
    <t>results/burgers-ch-lbm/ch_q8_nu_domain_single/2026-09-02/_c2442f4c/5b100faf</t>
  </si>
  <si>
    <t>results/burgers-ch-lbm/ch_q8_nu_domain_single/2026-09-02/_c2442f4c/52461db0</t>
  </si>
  <si>
    <t>results/burgers-ch-lbm/ch_q8_nu_domain_single/2026-09-02/_c2442f4c/8c78a249</t>
  </si>
  <si>
    <t>results/burgers-ch-lbm/ch_q8_nu_domain_single/2026-09-02/_c2442f4c/d07b3bea</t>
  </si>
  <si>
    <t>results/burgers-ch-lbm/ch_q8_nu_domain_single/2026-09-02/_c2442f4c/95945d0a</t>
  </si>
  <si>
    <t>results/burgers-ch-lbm/ch_q8_nu_domain_single/2026-09-02/_ce436320/72818197</t>
  </si>
  <si>
    <t>results/burgers-ch-lbm/ch_q8_nu_domain_single/2026-09-02/_ce436320/63cf775c</t>
  </si>
  <si>
    <t>results/burgers-ch-lbm/ch_q8_nu_domain_single/2026-09-02/_ce436320/3550a3b2</t>
  </si>
  <si>
    <t>results/burgers-ch-lbm/ch_q8_nu_domain_single/2026-09-02/_ce436320/3b65b1ff</t>
  </si>
  <si>
    <t>results/burgers-ch-lbm/ch_q8_nu_domain_single/2026-09-02/_ce436320/9951b427</t>
  </si>
  <si>
    <t>results/burgers-ch-lbm/ch_q8_nu_domain_single/2026-09-02/_ce436320/be363365</t>
  </si>
  <si>
    <t>results/burgers-ch-lbm/ch_q8_nu_domain_single/2026-09-02/_ce436320/71059e23</t>
  </si>
  <si>
    <t>results/burgers-ch-lbm/ch_q8_nu_domain_single/2026-09-02/_ce436320/0195ba52</t>
  </si>
  <si>
    <t>results/burgers-ch-lbm/ch_q8_nu_domain_single/2026-09-02/_ce436320/d2688e31</t>
  </si>
  <si>
    <t>results/burgers-ch-lbm/ch_q8_nu_domain_single/2026-09-02/_ce436320/7cc4209a</t>
  </si>
  <si>
    <t>results/burgers-ch-lbm/ch_q8_nu_domain_single/2026-09-02/_ce436320/d784896b</t>
  </si>
  <si>
    <t>results/burgers-ch-lbm/ch_q8_nu_domain_single/2026-09-02/_ce436320/41597ce5</t>
  </si>
  <si>
    <t>results/burgers-ch-lbm/ch_q8_nu_domain_single/2026-09-02/_83f4f49e/79da63cf</t>
  </si>
  <si>
    <t>results/burgers-ch-lbm/ch_q8_nu_domain_single/2026-09-02/_83f4f49e/8b142d3e</t>
  </si>
  <si>
    <t>results/burgers-ch-lbm/ch_q8_nu_domain_single/2026-09-02/_83f4f49e/bf317613</t>
  </si>
  <si>
    <t>results/burgers-ch-lbm/ch_q8_nu_domain_single/2026-09-02/_83f4f49e/305cbd15</t>
  </si>
  <si>
    <t>results/burgers-ch-lbm/ch_q8_nu_domain_single/2026-09-02/_83f4f49e/ce4bd185</t>
  </si>
  <si>
    <t>results/burgers-ch-lbm/ch_q8_nu_domain_single/2026-09-02/_c2442f4c/6f487a2c</t>
  </si>
  <si>
    <t>results/burgers-ch-lbm/ch_q8_nu_domain_single/2026-09-02/_c2442f4c/17f17789</t>
  </si>
  <si>
    <t>results/burgers-ch-lbm/ch_q8_nu_domain_single/2026-09-02/_c2442f4c/dd4ce212</t>
  </si>
  <si>
    <t>results/burgers-ch-lbm/ch_q8_nu_domain_single/2026-09-02/_c2442f4c/c3cab13a</t>
  </si>
  <si>
    <t>results/burgers-ch-lbm/ch_q8_nu_domain_single/2026-09-02/_c2442f4c/22778859</t>
  </si>
  <si>
    <t>Fig. 1 rerun (collapse code): CH &amp; QLBM/QALB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</si>
</sst>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</font>
    <font>
      <b/>
      <sz val="12"/>
      <name val="Aptos Narrow"/>
    </font>
    <font>
      <sz val="12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3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0" fillId="0" borderId="1" xfId="0" applyBorder="1" applyAlignment="1">
      <alignment wrapText="1"/>
    </xf>
    <xf numFmtId="3" fontId="0" fillId="3" borderId="1" xfId="0" applyNumberFormat="1" applyFill="1" applyBorder="1"/>
    <xf numFmtId="3" fontId="0" fillId="4" borderId="1" xfId="0" applyNumberFormat="1" applyFill="1" applyBorder="1"/>
    <xf numFmtId="3" fontId="0" fillId="6" borderId="1" xfId="0" applyNumberFormat="1" applyFill="1" applyBorder="1"/>
    <xf numFmtId="3" fontId="0" fillId="5" borderId="1" xfId="0" applyNumberFormat="1" applyFill="1" applyBorder="1"/>
    <xf numFmtId="3" fontId="0" fillId="7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3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right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8" borderId="1" xfId="0" applyFont="1" applyFill="1" applyBorder="1"/>
    <xf numFmtId="0" fontId="3" fillId="8" borderId="1" xfId="0" applyFont="1" applyFill="1" applyBorder="1"/>
    <xf numFmtId="0" fontId="1" fillId="8" borderId="1" xfId="0" applyFont="1" applyFill="1" applyBorder="1" applyAlignment="1">
      <alignment horizontal="center"/>
    </xf>
    <xf numFmtId="3" fontId="1" fillId="8" borderId="1" xfId="0" applyNumberFormat="1" applyFont="1" applyFill="1" applyBorder="1"/>
    <xf numFmtId="0" fontId="1" fillId="9" borderId="1" xfId="0" applyFont="1" applyFill="1" applyBorder="1"/>
    <xf numFmtId="0" fontId="3" fillId="9" borderId="1" xfId="0" applyFont="1" applyFill="1" applyBorder="1"/>
    <xf numFmtId="0" fontId="1" fillId="9" borderId="1" xfId="0" applyFont="1" applyFill="1" applyBorder="1" applyAlignment="1">
      <alignment horizontal="center"/>
    </xf>
    <xf numFmtId="3" fontId="1" fillId="9" borderId="1" xfId="0" applyNumberFormat="1" applyFont="1" applyFill="1" applyBorder="1"/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3" fontId="1" fillId="7" borderId="1" xfId="0" applyNumberFormat="1" applyFont="1" applyFill="1" applyBorder="1"/>
    <xf numFmtId="0" fontId="1" fillId="5" borderId="1" xfId="0" applyFont="1" applyFill="1" applyBorder="1"/>
    <xf numFmtId="0" fontId="1" fillId="5" borderId="1" xfId="0" applyFont="1" applyFill="1" applyBorder="1" applyAlignment="1">
      <alignment horizontal="center"/>
    </xf>
    <xf numFmtId="3" fontId="1" fillId="5" borderId="1" xfId="0" applyNumberFormat="1" applyFon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3" fontId="1" fillId="4" borderId="1" xfId="0" applyNumberFormat="1" applyFont="1" applyFill="1" applyBorder="1"/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/>
    </xf>
    <xf numFmtId="3" fontId="1" fillId="12" borderId="1" xfId="0" applyNumberFormat="1" applyFont="1" applyFill="1" applyBorder="1"/>
    <xf numFmtId="0" fontId="0" fillId="6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12" borderId="1" xfId="0" applyFill="1" applyBorder="1"/>
    <xf numFmtId="49" fontId="1" fillId="2" borderId="1" xfId="0" applyNumberFormat="1" applyFont="1" applyFill="1" applyBorder="1"/>
    <xf numFmtId="49" fontId="1" fillId="3" borderId="1" xfId="0" applyNumberFormat="1" applyFont="1" applyFill="1" applyBorder="1"/>
    <xf numFmtId="49" fontId="0" fillId="3" borderId="1" xfId="0" applyNumberFormat="1" applyFill="1" applyBorder="1"/>
    <xf numFmtId="49" fontId="1" fillId="4" borderId="1" xfId="0" applyNumberFormat="1" applyFont="1" applyFill="1" applyBorder="1"/>
    <xf numFmtId="49" fontId="0" fillId="4" borderId="1" xfId="0" applyNumberFormat="1" applyFill="1" applyBorder="1"/>
    <xf numFmtId="49" fontId="1" fillId="12" borderId="1" xfId="0" applyNumberFormat="1" applyFont="1" applyFill="1" applyBorder="1"/>
    <xf numFmtId="49" fontId="0" fillId="12" borderId="1" xfId="0" applyNumberFormat="1" applyFill="1" applyBorder="1"/>
    <xf numFmtId="49" fontId="1" fillId="5" borderId="1" xfId="0" applyNumberFormat="1" applyFont="1" applyFill="1" applyBorder="1"/>
    <xf numFmtId="49" fontId="0" fillId="5" borderId="1" xfId="0" applyNumberFormat="1" applyFill="1" applyBorder="1"/>
    <xf numFmtId="49" fontId="1" fillId="7" borderId="1" xfId="0" applyNumberFormat="1" applyFont="1" applyFill="1" applyBorder="1"/>
    <xf numFmtId="49" fontId="0" fillId="7" borderId="1" xfId="0" applyNumberFormat="1" applyFill="1" applyBorder="1"/>
    <xf numFmtId="49" fontId="1" fillId="8" borderId="1" xfId="0" applyNumberFormat="1" applyFont="1" applyFill="1" applyBorder="1"/>
    <xf numFmtId="49" fontId="0" fillId="8" borderId="1" xfId="0" applyNumberFormat="1" applyFill="1" applyBorder="1"/>
    <xf numFmtId="49" fontId="1" fillId="9" borderId="1" xfId="0" applyNumberFormat="1" applyFont="1" applyFill="1" applyBorder="1"/>
    <xf numFmtId="49" fontId="0" fillId="9" borderId="1" xfId="0" applyNumberFormat="1" applyFill="1" applyBorder="1"/>
    <xf numFmtId="49" fontId="0" fillId="0" borderId="1" xfId="0" applyNumberFormat="1" applyBorder="1"/>
    <xf numFmtId="0" fontId="4" fillId="4" borderId="1" xfId="0" applyFont="1" applyFill="1" applyBorder="1"/>
    <xf numFmtId="164" fontId="1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/>
    <xf numFmtId="164" fontId="0" fillId="3" borderId="1" xfId="0" applyNumberFormat="1" applyFill="1" applyBorder="1"/>
    <xf numFmtId="164" fontId="1" fillId="4" borderId="1" xfId="0" applyNumberFormat="1" applyFont="1" applyFill="1" applyBorder="1"/>
    <xf numFmtId="164" fontId="0" fillId="4" borderId="1" xfId="0" applyNumberFormat="1" applyFill="1" applyBorder="1"/>
    <xf numFmtId="164" fontId="1" fillId="12" borderId="1" xfId="0" applyNumberFormat="1" applyFont="1" applyFill="1" applyBorder="1"/>
    <xf numFmtId="164" fontId="0" fillId="12" borderId="1" xfId="0" applyNumberFormat="1" applyFill="1" applyBorder="1"/>
    <xf numFmtId="164" fontId="1" fillId="5" borderId="1" xfId="0" applyNumberFormat="1" applyFont="1" applyFill="1" applyBorder="1"/>
    <xf numFmtId="164" fontId="0" fillId="5" borderId="1" xfId="0" applyNumberFormat="1" applyFill="1" applyBorder="1"/>
    <xf numFmtId="164" fontId="1" fillId="7" borderId="1" xfId="0" applyNumberFormat="1" applyFont="1" applyFill="1" applyBorder="1"/>
    <xf numFmtId="164" fontId="0" fillId="7" borderId="1" xfId="0" applyNumberFormat="1" applyFill="1" applyBorder="1"/>
    <xf numFmtId="164" fontId="0" fillId="7" borderId="1" xfId="0" applyNumberFormat="1" applyFill="1" applyBorder="1" applyAlignment="1">
      <alignment horizontal="right"/>
    </xf>
    <xf numFmtId="164" fontId="1" fillId="8" borderId="1" xfId="0" applyNumberFormat="1" applyFont="1" applyFill="1" applyBorder="1" applyAlignment="1">
      <alignment horizontal="right"/>
    </xf>
    <xf numFmtId="164" fontId="1" fillId="8" borderId="1" xfId="0" applyNumberFormat="1" applyFont="1" applyFill="1" applyBorder="1"/>
    <xf numFmtId="164" fontId="0" fillId="8" borderId="1" xfId="0" applyNumberFormat="1" applyFill="1" applyBorder="1"/>
    <xf numFmtId="164" fontId="1" fillId="9" borderId="1" xfId="0" applyNumberFormat="1" applyFont="1" applyFill="1" applyBorder="1"/>
    <xf numFmtId="164" fontId="0" fillId="9" borderId="1" xfId="0" applyNumberFormat="1" applyFill="1" applyBorder="1"/>
    <xf numFmtId="164" fontId="0" fillId="0" borderId="1" xfId="0" applyNumberFormat="1" applyBorder="1"/>
    <xf numFmtId="164" fontId="0" fillId="0" borderId="1" xfId="0" applyNumberFormat="1" applyBorder="1" applyAlignment="1">
      <alignment wrapText="1"/>
    </xf>
    <xf numFmtId="164" fontId="1" fillId="10" borderId="1" xfId="0" applyNumberFormat="1" applyFont="1" applyFill="1" applyBorder="1" applyAlignment="1">
      <alignment horizontal="center"/>
    </xf>
    <xf numFmtId="164" fontId="1" fillId="10" borderId="1" xfId="0" applyNumberFormat="1" applyFont="1" applyFill="1" applyBorder="1"/>
    <xf numFmtId="49" fontId="0" fillId="7" borderId="1" xfId="0" applyNumberFormat="1" applyFill="1" applyBorder="1" applyAlignment="1">
      <alignment horizontal="left"/>
    </xf>
    <xf numFmtId="0" fontId="0" fillId="8" borderId="1" xfId="0" applyFill="1" applyBorder="1" applyAlignment="1">
      <alignment wrapText="1"/>
    </xf>
    <xf numFmtId="164" fontId="0" fillId="3" borderId="1" xfId="0" applyNumberFormat="1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3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2"/>
  <sheetViews>
    <sheetView tabSelected="1" topLeftCell="AE1" workbookViewId="0">
      <pane ySplit="1" topLeftCell="A50" activePane="bottomLeft" state="frozen"/>
      <selection pane="bottomLeft" activeCell="R51" sqref="R51"/>
    </sheetView>
  </sheetViews>
  <sheetFormatPr defaultColWidth="10.84765625" defaultRowHeight="15.6" x14ac:dyDescent="0.6"/>
  <cols>
    <col min="1" max="1" width="4.1484375" style="8" customWidth="1"/>
    <col min="2" max="2" width="39.34765625" style="8" bestFit="1" customWidth="1"/>
    <col min="3" max="3" width="16.34765625" style="8" customWidth="1"/>
    <col min="4" max="4" width="24" style="8" customWidth="1"/>
    <col min="5" max="5" width="4.6484375" style="8" customWidth="1"/>
    <col min="6" max="6" width="9" style="8" customWidth="1"/>
    <col min="7" max="7" width="7" style="8" customWidth="1"/>
    <col min="8" max="10" width="5.6484375" style="8" customWidth="1"/>
    <col min="11" max="11" width="11.5" style="21" customWidth="1"/>
    <col min="12" max="12" width="9" style="8" customWidth="1"/>
    <col min="13" max="13" width="9.34765625" style="8" customWidth="1"/>
    <col min="14" max="14" width="12" style="8" customWidth="1"/>
    <col min="15" max="15" width="9.6484375" style="8" customWidth="1"/>
    <col min="16" max="16" width="10.6484375" style="30" customWidth="1"/>
    <col min="17" max="17" width="11.1484375" style="30" customWidth="1"/>
    <col min="18" max="18" width="18.84765625" style="96" customWidth="1"/>
    <col min="19" max="19" width="18.5" style="97" customWidth="1"/>
    <col min="20" max="20" width="10.1484375" style="13" customWidth="1"/>
    <col min="21" max="21" width="11.84765625" style="13" customWidth="1"/>
    <col min="22" max="23" width="11.5" style="13" customWidth="1"/>
    <col min="24" max="24" width="13.1484375" style="8" customWidth="1"/>
    <col min="25" max="25" width="10.5" style="77" customWidth="1"/>
    <col min="26" max="28" width="10.84765625" style="8" customWidth="1"/>
    <col min="29" max="29" width="11.1484375" style="8" customWidth="1"/>
    <col min="30" max="30" width="19.34765625" style="8" bestFit="1" customWidth="1"/>
    <col min="31" max="31" width="89.5" style="8" bestFit="1" customWidth="1"/>
    <col min="32" max="34" width="10.84765625" style="8" customWidth="1"/>
    <col min="35" max="16384" width="10.84765625" style="8"/>
  </cols>
  <sheetData>
    <row r="1" spans="1:31" s="9" customFormat="1" ht="17.05" customHeight="1" x14ac:dyDescent="0.6">
      <c r="A1" s="9" t="s">
        <v>0</v>
      </c>
      <c r="B1" s="9" t="s">
        <v>1</v>
      </c>
      <c r="C1" s="9" t="s">
        <v>2</v>
      </c>
      <c r="D1" s="9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31" t="s">
        <v>10</v>
      </c>
      <c r="L1" s="33" t="s">
        <v>11</v>
      </c>
      <c r="M1" s="33" t="s">
        <v>12</v>
      </c>
      <c r="N1" s="34" t="s">
        <v>13</v>
      </c>
      <c r="O1" s="34" t="s">
        <v>14</v>
      </c>
      <c r="P1" s="22" t="s">
        <v>15</v>
      </c>
      <c r="Q1" s="22" t="s">
        <v>16</v>
      </c>
      <c r="R1" s="98" t="s">
        <v>17</v>
      </c>
      <c r="S1" s="99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62" t="s">
        <v>30</v>
      </c>
    </row>
    <row r="2" spans="1:31" s="49" customFormat="1" x14ac:dyDescent="0.6">
      <c r="B2" s="49" t="s">
        <v>31</v>
      </c>
      <c r="E2" s="50"/>
      <c r="F2" s="50"/>
      <c r="G2" s="50"/>
      <c r="H2" s="50"/>
      <c r="I2" s="50"/>
      <c r="J2" s="50"/>
      <c r="K2" s="51"/>
      <c r="L2" s="50"/>
      <c r="M2" s="50"/>
      <c r="N2" s="50"/>
      <c r="O2" s="50"/>
      <c r="P2" s="50"/>
      <c r="Q2" s="50"/>
      <c r="R2" s="79"/>
      <c r="S2" s="80"/>
      <c r="AE2" s="63"/>
    </row>
    <row r="3" spans="1:31" s="1" customFormat="1" x14ac:dyDescent="0.6">
      <c r="A3" s="1">
        <v>1</v>
      </c>
      <c r="B3" s="1" t="s">
        <v>32</v>
      </c>
      <c r="C3" s="1" t="s">
        <v>33</v>
      </c>
      <c r="D3" s="1" t="s">
        <v>34</v>
      </c>
      <c r="E3" s="1">
        <v>4</v>
      </c>
      <c r="F3" s="1">
        <v>0.03</v>
      </c>
      <c r="G3" s="1">
        <v>0.3</v>
      </c>
      <c r="H3" s="1">
        <v>0.1</v>
      </c>
      <c r="I3" s="1">
        <f t="shared" ref="I3:I8" si="0">N3*O3</f>
        <v>30</v>
      </c>
      <c r="J3" s="1">
        <f t="shared" ref="J3:J8" si="1">G3/F3</f>
        <v>10</v>
      </c>
      <c r="K3" s="14">
        <v>150000</v>
      </c>
      <c r="L3" s="1">
        <v>8</v>
      </c>
      <c r="M3" s="1">
        <v>8</v>
      </c>
      <c r="N3" s="1">
        <v>5</v>
      </c>
      <c r="O3" s="1">
        <v>6</v>
      </c>
      <c r="P3" s="23"/>
      <c r="Q3" s="23" t="s">
        <v>35</v>
      </c>
      <c r="R3" s="81">
        <v>1.9723999999999998E-2</v>
      </c>
      <c r="S3" s="81">
        <v>0.11214721240492</v>
      </c>
      <c r="T3" s="1">
        <v>10</v>
      </c>
      <c r="U3" s="1">
        <v>3046</v>
      </c>
      <c r="V3" s="1">
        <v>3721</v>
      </c>
      <c r="W3" s="1">
        <v>1006</v>
      </c>
      <c r="X3" s="1" t="s">
        <v>36</v>
      </c>
      <c r="Y3" s="1" t="s">
        <v>37</v>
      </c>
      <c r="Z3" s="1">
        <v>0.03</v>
      </c>
      <c r="AA3" s="1">
        <v>0.13</v>
      </c>
      <c r="AB3" s="1">
        <v>60.02</v>
      </c>
      <c r="AC3" s="1">
        <v>126.25</v>
      </c>
      <c r="AE3" s="64" t="s">
        <v>38</v>
      </c>
    </row>
    <row r="4" spans="1:31" s="1" customFormat="1" x14ac:dyDescent="0.6">
      <c r="A4" s="1">
        <v>2</v>
      </c>
      <c r="B4" s="1" t="s">
        <v>39</v>
      </c>
      <c r="C4" s="1" t="s">
        <v>33</v>
      </c>
      <c r="D4" s="1" t="s">
        <v>34</v>
      </c>
      <c r="E4" s="1">
        <v>6</v>
      </c>
      <c r="F4" s="1">
        <v>0.03</v>
      </c>
      <c r="G4" s="1">
        <v>0.3</v>
      </c>
      <c r="H4" s="1">
        <v>0.1</v>
      </c>
      <c r="I4" s="1">
        <f t="shared" si="0"/>
        <v>100</v>
      </c>
      <c r="J4" s="1">
        <f t="shared" si="1"/>
        <v>10</v>
      </c>
      <c r="K4" s="14">
        <v>150000</v>
      </c>
      <c r="L4" s="1">
        <v>8</v>
      </c>
      <c r="M4" s="1">
        <v>8</v>
      </c>
      <c r="N4" s="1">
        <v>5</v>
      </c>
      <c r="O4" s="1">
        <v>20</v>
      </c>
      <c r="P4" s="23"/>
      <c r="Q4" s="23" t="s">
        <v>35</v>
      </c>
      <c r="R4" s="81">
        <v>5.1276000000000002E-2</v>
      </c>
      <c r="S4" s="81">
        <v>0.29152899999999998</v>
      </c>
      <c r="T4" s="1">
        <v>14</v>
      </c>
      <c r="U4" s="1">
        <v>16602</v>
      </c>
      <c r="V4" s="1">
        <v>21800</v>
      </c>
      <c r="W4" s="1">
        <v>6628</v>
      </c>
      <c r="X4" s="1" t="s">
        <v>36</v>
      </c>
      <c r="Y4" s="1" t="s">
        <v>37</v>
      </c>
      <c r="Z4" s="1">
        <v>0.63</v>
      </c>
      <c r="AA4" s="1">
        <v>0.62</v>
      </c>
      <c r="AB4" s="1">
        <v>1.84</v>
      </c>
      <c r="AC4" s="1">
        <v>9.0399999999999991</v>
      </c>
      <c r="AE4" s="64" t="s">
        <v>40</v>
      </c>
    </row>
    <row r="5" spans="1:31" s="1" customFormat="1" x14ac:dyDescent="0.6">
      <c r="A5" s="1">
        <v>3</v>
      </c>
      <c r="B5" s="1" t="s">
        <v>41</v>
      </c>
      <c r="C5" s="1" t="s">
        <v>33</v>
      </c>
      <c r="D5" s="1" t="s">
        <v>34</v>
      </c>
      <c r="E5" s="1">
        <v>8</v>
      </c>
      <c r="F5" s="1">
        <v>0.03</v>
      </c>
      <c r="G5" s="1">
        <v>0.3</v>
      </c>
      <c r="H5" s="1">
        <v>0.1</v>
      </c>
      <c r="I5" s="1">
        <f t="shared" si="0"/>
        <v>400</v>
      </c>
      <c r="J5" s="1">
        <f t="shared" si="1"/>
        <v>10</v>
      </c>
      <c r="K5" s="14">
        <v>150000</v>
      </c>
      <c r="L5" s="1">
        <v>16</v>
      </c>
      <c r="M5" s="1">
        <v>8</v>
      </c>
      <c r="N5" s="1">
        <v>5</v>
      </c>
      <c r="O5" s="1">
        <v>80</v>
      </c>
      <c r="P5" s="23"/>
      <c r="Q5" s="23" t="s">
        <v>35</v>
      </c>
      <c r="R5" s="81">
        <v>0.28409899999999999</v>
      </c>
      <c r="S5" s="81">
        <v>1.6153379999999999</v>
      </c>
      <c r="T5" s="1">
        <v>17</v>
      </c>
      <c r="U5" s="1">
        <v>84156</v>
      </c>
      <c r="V5" s="1">
        <v>117435</v>
      </c>
      <c r="W5" s="1">
        <v>40272</v>
      </c>
      <c r="X5" s="1" t="s">
        <v>42</v>
      </c>
      <c r="Y5" s="1" t="s">
        <v>43</v>
      </c>
      <c r="Z5" s="1">
        <v>23.46</v>
      </c>
      <c r="AA5" s="1">
        <v>10.74</v>
      </c>
      <c r="AB5" s="1">
        <v>48.9</v>
      </c>
      <c r="AC5" s="1">
        <v>182.7</v>
      </c>
      <c r="AE5" s="64" t="s">
        <v>44</v>
      </c>
    </row>
    <row r="6" spans="1:31" s="1" customFormat="1" ht="17.05" customHeight="1" x14ac:dyDescent="0.6">
      <c r="A6" s="1">
        <v>4</v>
      </c>
      <c r="B6" s="1" t="s">
        <v>32</v>
      </c>
      <c r="C6" s="1" t="s">
        <v>45</v>
      </c>
      <c r="D6" s="1" t="s">
        <v>34</v>
      </c>
      <c r="E6" s="1">
        <v>4</v>
      </c>
      <c r="F6" s="1">
        <v>0.03</v>
      </c>
      <c r="G6" s="1">
        <v>0.3</v>
      </c>
      <c r="H6" s="1">
        <v>0.1</v>
      </c>
      <c r="I6" s="1">
        <f t="shared" si="0"/>
        <v>30</v>
      </c>
      <c r="J6" s="1">
        <f t="shared" si="1"/>
        <v>10</v>
      </c>
      <c r="K6" s="14">
        <v>150000</v>
      </c>
      <c r="L6" s="60" t="s">
        <v>46</v>
      </c>
      <c r="M6" s="60" t="s">
        <v>46</v>
      </c>
      <c r="N6" s="1">
        <v>1</v>
      </c>
      <c r="O6" s="1">
        <v>30</v>
      </c>
      <c r="P6" s="23"/>
      <c r="Q6" s="23" t="s">
        <v>35</v>
      </c>
      <c r="R6" s="81">
        <v>0.10970000000000001</v>
      </c>
      <c r="S6" s="81">
        <v>0.62414999999999998</v>
      </c>
      <c r="T6" s="1">
        <v>9</v>
      </c>
      <c r="U6" s="1">
        <v>432601</v>
      </c>
      <c r="V6" s="1">
        <v>708746</v>
      </c>
      <c r="W6" s="1">
        <v>119440</v>
      </c>
      <c r="X6" s="1" t="s">
        <v>36</v>
      </c>
      <c r="Y6" s="1" t="s">
        <v>37</v>
      </c>
      <c r="Z6" s="1">
        <v>0.13</v>
      </c>
      <c r="AA6" s="1">
        <v>1.65</v>
      </c>
      <c r="AB6" s="1">
        <v>2.4500000000000002</v>
      </c>
      <c r="AC6" s="1">
        <v>9.2799999999999994</v>
      </c>
      <c r="AD6" s="1" t="s">
        <v>47</v>
      </c>
      <c r="AE6" s="64" t="s">
        <v>48</v>
      </c>
    </row>
    <row r="7" spans="1:31" s="1" customFormat="1" x14ac:dyDescent="0.6">
      <c r="A7" s="1">
        <v>5</v>
      </c>
      <c r="B7" s="1" t="s">
        <v>39</v>
      </c>
      <c r="C7" s="1" t="s">
        <v>45</v>
      </c>
      <c r="D7" s="1" t="s">
        <v>34</v>
      </c>
      <c r="E7" s="1">
        <v>6</v>
      </c>
      <c r="F7" s="1">
        <v>0.03</v>
      </c>
      <c r="G7" s="1">
        <v>0.3</v>
      </c>
      <c r="H7" s="1">
        <v>0.1</v>
      </c>
      <c r="I7" s="1">
        <f t="shared" si="0"/>
        <v>100</v>
      </c>
      <c r="J7" s="1">
        <f t="shared" si="1"/>
        <v>10</v>
      </c>
      <c r="K7" s="14">
        <v>150000</v>
      </c>
      <c r="L7" s="60" t="s">
        <v>46</v>
      </c>
      <c r="M7" s="60" t="s">
        <v>46</v>
      </c>
      <c r="N7" s="1">
        <v>1</v>
      </c>
      <c r="O7" s="1">
        <v>100</v>
      </c>
      <c r="P7" s="23"/>
      <c r="Q7" s="23" t="s">
        <v>35</v>
      </c>
      <c r="R7" s="81">
        <v>1.7159000000000001E-2</v>
      </c>
      <c r="S7" s="81">
        <v>9.7976999999999995E-2</v>
      </c>
      <c r="T7" s="1">
        <v>9</v>
      </c>
      <c r="U7" s="1">
        <v>432599</v>
      </c>
      <c r="V7" s="1">
        <v>708746</v>
      </c>
      <c r="W7" s="1">
        <v>119440</v>
      </c>
      <c r="X7" s="1" t="s">
        <v>36</v>
      </c>
      <c r="Y7" s="1" t="s">
        <v>37</v>
      </c>
      <c r="Z7" s="1">
        <v>1.67</v>
      </c>
      <c r="AA7" s="1">
        <v>22.24</v>
      </c>
      <c r="AB7" s="1">
        <v>33.630000000000003</v>
      </c>
      <c r="AC7" s="1">
        <v>62.72</v>
      </c>
      <c r="AE7" s="64" t="s">
        <v>49</v>
      </c>
    </row>
    <row r="8" spans="1:31" s="1" customFormat="1" x14ac:dyDescent="0.6">
      <c r="A8" s="1">
        <v>6</v>
      </c>
      <c r="B8" s="1" t="s">
        <v>41</v>
      </c>
      <c r="C8" s="1" t="s">
        <v>45</v>
      </c>
      <c r="D8" s="1" t="s">
        <v>34</v>
      </c>
      <c r="E8" s="1">
        <v>8</v>
      </c>
      <c r="F8" s="1">
        <v>0.03</v>
      </c>
      <c r="G8" s="1">
        <v>0.3</v>
      </c>
      <c r="H8" s="1">
        <v>0.1</v>
      </c>
      <c r="I8" s="1">
        <f t="shared" si="0"/>
        <v>400</v>
      </c>
      <c r="J8" s="1">
        <f t="shared" si="1"/>
        <v>10</v>
      </c>
      <c r="K8" s="14">
        <v>150000</v>
      </c>
      <c r="L8" s="60" t="s">
        <v>46</v>
      </c>
      <c r="M8" s="60" t="s">
        <v>46</v>
      </c>
      <c r="N8" s="1">
        <v>1</v>
      </c>
      <c r="O8" s="1">
        <v>400</v>
      </c>
      <c r="P8" s="23"/>
      <c r="Q8" s="23" t="s">
        <v>35</v>
      </c>
      <c r="R8" s="81">
        <v>5.7592999999999998E-2</v>
      </c>
      <c r="S8" s="81">
        <v>0.327463</v>
      </c>
      <c r="T8" s="1">
        <v>9</v>
      </c>
      <c r="U8" s="1">
        <v>432576</v>
      </c>
      <c r="V8" s="1">
        <v>708725</v>
      </c>
      <c r="W8" s="1">
        <v>119440</v>
      </c>
      <c r="X8" s="1" t="s">
        <v>42</v>
      </c>
      <c r="Y8" s="1" t="s">
        <v>43</v>
      </c>
      <c r="Z8" s="1">
        <v>37.35</v>
      </c>
      <c r="AA8" s="1">
        <v>579.19000000000005</v>
      </c>
      <c r="AB8" s="1">
        <v>1084.04</v>
      </c>
      <c r="AC8" s="1">
        <v>1707.83</v>
      </c>
      <c r="AE8" s="64" t="s">
        <v>50</v>
      </c>
    </row>
    <row r="9" spans="1:31" s="52" customFormat="1" ht="17.05" customHeight="1" x14ac:dyDescent="0.6">
      <c r="B9" s="52" t="s">
        <v>51</v>
      </c>
      <c r="K9" s="54"/>
      <c r="P9" s="53"/>
      <c r="Q9" s="53"/>
      <c r="R9" s="82"/>
      <c r="S9" s="82"/>
      <c r="AD9" s="78" t="s">
        <v>47</v>
      </c>
      <c r="AE9" s="65"/>
    </row>
    <row r="10" spans="1:31" s="2" customFormat="1" x14ac:dyDescent="0.6">
      <c r="A10" s="2">
        <v>7</v>
      </c>
      <c r="B10" s="2" t="s">
        <v>52</v>
      </c>
      <c r="C10" s="2" t="s">
        <v>33</v>
      </c>
      <c r="D10" s="2" t="s">
        <v>34</v>
      </c>
      <c r="E10" s="2">
        <v>4</v>
      </c>
      <c r="F10" s="2">
        <v>2.5000000000000001E-2</v>
      </c>
      <c r="G10" s="2">
        <v>0.5</v>
      </c>
      <c r="H10" s="2">
        <v>0.1</v>
      </c>
      <c r="I10" s="2">
        <f t="shared" ref="I10:I15" si="2">N10*O10</f>
        <v>30</v>
      </c>
      <c r="J10" s="2">
        <f t="shared" ref="J10:J15" si="3">G10/F10</f>
        <v>20</v>
      </c>
      <c r="K10" s="15">
        <v>150000</v>
      </c>
      <c r="L10" s="2">
        <v>8</v>
      </c>
      <c r="M10" s="2">
        <v>8</v>
      </c>
      <c r="N10" s="2">
        <v>5</v>
      </c>
      <c r="O10" s="2">
        <v>6</v>
      </c>
      <c r="P10" s="24"/>
      <c r="Q10" s="24" t="s">
        <v>53</v>
      </c>
      <c r="R10" s="83">
        <v>2.5604999999999999E-2</v>
      </c>
      <c r="S10" s="83">
        <v>8.8009000000000004E-2</v>
      </c>
      <c r="T10" s="2">
        <v>10</v>
      </c>
      <c r="U10" s="2">
        <v>3064</v>
      </c>
      <c r="V10" s="2">
        <v>3756</v>
      </c>
      <c r="W10" s="2">
        <v>1007</v>
      </c>
      <c r="X10" s="2" t="s">
        <v>36</v>
      </c>
      <c r="Y10" s="2" t="s">
        <v>37</v>
      </c>
      <c r="Z10" s="2">
        <v>0.03</v>
      </c>
      <c r="AA10" s="2">
        <v>0.11</v>
      </c>
      <c r="AB10" s="2">
        <v>67.069999999999993</v>
      </c>
      <c r="AC10" s="2">
        <v>140.02000000000001</v>
      </c>
      <c r="AE10" s="66" t="s">
        <v>54</v>
      </c>
    </row>
    <row r="11" spans="1:31" s="2" customFormat="1" x14ac:dyDescent="0.6">
      <c r="A11" s="2">
        <v>8</v>
      </c>
      <c r="B11" s="2" t="s">
        <v>55</v>
      </c>
      <c r="C11" s="2" t="s">
        <v>33</v>
      </c>
      <c r="D11" s="2" t="s">
        <v>34</v>
      </c>
      <c r="E11" s="2">
        <v>6</v>
      </c>
      <c r="F11" s="2">
        <v>2.5000000000000001E-2</v>
      </c>
      <c r="G11" s="2">
        <v>0.5</v>
      </c>
      <c r="H11" s="2">
        <v>0.1</v>
      </c>
      <c r="I11" s="2">
        <f t="shared" si="2"/>
        <v>100</v>
      </c>
      <c r="J11" s="2">
        <f t="shared" si="3"/>
        <v>20</v>
      </c>
      <c r="K11" s="15">
        <v>150000</v>
      </c>
      <c r="L11" s="2">
        <v>8</v>
      </c>
      <c r="M11" s="2">
        <v>8</v>
      </c>
      <c r="N11" s="2">
        <v>5</v>
      </c>
      <c r="O11" s="2">
        <v>20</v>
      </c>
      <c r="P11" s="24"/>
      <c r="Q11" s="24" t="s">
        <v>53</v>
      </c>
      <c r="R11" s="83">
        <v>3.783054582066233E-2</v>
      </c>
      <c r="S11" s="83">
        <v>0.12561795125644329</v>
      </c>
      <c r="T11" s="2">
        <v>14</v>
      </c>
      <c r="U11" s="2">
        <v>16636</v>
      </c>
      <c r="V11" s="2">
        <v>21838</v>
      </c>
      <c r="W11" s="2">
        <v>6629</v>
      </c>
      <c r="X11" s="2" t="s">
        <v>36</v>
      </c>
      <c r="Y11" s="2" t="s">
        <v>37</v>
      </c>
      <c r="Z11" s="2">
        <v>0.61</v>
      </c>
      <c r="AA11" s="2">
        <v>0.6</v>
      </c>
      <c r="AB11" s="2">
        <v>1.82</v>
      </c>
      <c r="AC11" s="2">
        <v>8.76</v>
      </c>
      <c r="AE11" s="66" t="s">
        <v>56</v>
      </c>
    </row>
    <row r="12" spans="1:31" s="2" customFormat="1" x14ac:dyDescent="0.6">
      <c r="A12" s="2">
        <v>9</v>
      </c>
      <c r="B12" s="2" t="s">
        <v>57</v>
      </c>
      <c r="C12" s="2" t="s">
        <v>33</v>
      </c>
      <c r="D12" s="2" t="s">
        <v>34</v>
      </c>
      <c r="E12" s="2">
        <v>8</v>
      </c>
      <c r="F12" s="2">
        <v>2.5000000000000001E-2</v>
      </c>
      <c r="G12" s="2">
        <v>0.5</v>
      </c>
      <c r="H12" s="2">
        <v>0.1</v>
      </c>
      <c r="I12" s="2">
        <f t="shared" si="2"/>
        <v>400</v>
      </c>
      <c r="J12" s="2">
        <f t="shared" si="3"/>
        <v>20</v>
      </c>
      <c r="K12" s="15">
        <v>150000</v>
      </c>
      <c r="L12" s="2">
        <v>16</v>
      </c>
      <c r="M12" s="2">
        <v>8</v>
      </c>
      <c r="N12" s="2">
        <v>5</v>
      </c>
      <c r="O12" s="2">
        <v>80</v>
      </c>
      <c r="P12" s="24"/>
      <c r="Q12" s="24" t="s">
        <v>53</v>
      </c>
      <c r="R12" s="83">
        <v>84.583827999999997</v>
      </c>
      <c r="S12" s="83">
        <v>280.86451299999999</v>
      </c>
      <c r="T12" s="2">
        <v>17</v>
      </c>
      <c r="U12" s="2">
        <v>84199</v>
      </c>
      <c r="V12" s="2">
        <v>117484</v>
      </c>
      <c r="W12" s="2">
        <v>40272</v>
      </c>
      <c r="X12" s="2" t="s">
        <v>42</v>
      </c>
      <c r="Y12" s="2" t="s">
        <v>43</v>
      </c>
      <c r="Z12" s="2">
        <v>18.29</v>
      </c>
      <c r="AA12" s="2">
        <v>15.53</v>
      </c>
      <c r="AB12" s="2">
        <v>49.21</v>
      </c>
      <c r="AC12" s="2">
        <v>182.51</v>
      </c>
      <c r="AE12" s="66" t="s">
        <v>58</v>
      </c>
    </row>
    <row r="13" spans="1:31" s="2" customFormat="1" x14ac:dyDescent="0.6">
      <c r="A13" s="2">
        <v>10</v>
      </c>
      <c r="B13" s="2" t="s">
        <v>52</v>
      </c>
      <c r="C13" s="2" t="s">
        <v>45</v>
      </c>
      <c r="D13" s="2" t="s">
        <v>34</v>
      </c>
      <c r="E13" s="2">
        <v>4</v>
      </c>
      <c r="F13" s="2">
        <v>2.5000000000000001E-2</v>
      </c>
      <c r="G13" s="2">
        <v>0.5</v>
      </c>
      <c r="H13" s="2">
        <v>0.1</v>
      </c>
      <c r="I13" s="2">
        <f t="shared" si="2"/>
        <v>30</v>
      </c>
      <c r="J13" s="2">
        <f t="shared" si="3"/>
        <v>20</v>
      </c>
      <c r="K13" s="15">
        <v>150000</v>
      </c>
      <c r="L13" s="59" t="s">
        <v>46</v>
      </c>
      <c r="M13" s="59" t="s">
        <v>46</v>
      </c>
      <c r="N13" s="2">
        <v>1</v>
      </c>
      <c r="O13" s="2">
        <v>30</v>
      </c>
      <c r="P13" s="24"/>
      <c r="Q13" s="24" t="s">
        <v>53</v>
      </c>
      <c r="R13" s="83">
        <v>0.212141</v>
      </c>
      <c r="S13" s="83">
        <v>0.72917299999999996</v>
      </c>
      <c r="T13" s="2">
        <v>9</v>
      </c>
      <c r="U13" s="2">
        <v>432535</v>
      </c>
      <c r="V13" s="2">
        <v>708679</v>
      </c>
      <c r="W13" s="2">
        <v>119440</v>
      </c>
      <c r="X13" s="2" t="s">
        <v>36</v>
      </c>
      <c r="Y13" s="2" t="s">
        <v>37</v>
      </c>
      <c r="Z13" s="2">
        <v>0.13</v>
      </c>
      <c r="AA13" s="2">
        <v>1.63</v>
      </c>
      <c r="AB13" s="2">
        <v>2.39</v>
      </c>
      <c r="AC13" s="2">
        <v>9.1999999999999993</v>
      </c>
      <c r="AE13" s="66" t="s">
        <v>59</v>
      </c>
    </row>
    <row r="14" spans="1:31" s="2" customFormat="1" x14ac:dyDescent="0.6">
      <c r="A14" s="2">
        <v>11</v>
      </c>
      <c r="B14" s="2" t="s">
        <v>55</v>
      </c>
      <c r="C14" s="2" t="s">
        <v>45</v>
      </c>
      <c r="D14" s="2" t="s">
        <v>34</v>
      </c>
      <c r="E14" s="2">
        <v>6</v>
      </c>
      <c r="F14" s="2">
        <v>2.5000000000000001E-2</v>
      </c>
      <c r="G14" s="2">
        <v>0.5</v>
      </c>
      <c r="H14" s="2">
        <v>0.1</v>
      </c>
      <c r="I14" s="2">
        <f t="shared" si="2"/>
        <v>100</v>
      </c>
      <c r="J14" s="2">
        <f t="shared" si="3"/>
        <v>20</v>
      </c>
      <c r="K14" s="15">
        <v>150000</v>
      </c>
      <c r="L14" s="59" t="s">
        <v>46</v>
      </c>
      <c r="M14" s="59" t="s">
        <v>46</v>
      </c>
      <c r="N14" s="2">
        <v>1</v>
      </c>
      <c r="O14" s="2">
        <v>100</v>
      </c>
      <c r="P14" s="24"/>
      <c r="Q14" s="24" t="s">
        <v>53</v>
      </c>
      <c r="R14" s="83">
        <v>0.100355</v>
      </c>
      <c r="S14" s="83">
        <v>0.333235</v>
      </c>
      <c r="T14" s="2">
        <v>9</v>
      </c>
      <c r="U14" s="2">
        <v>432727</v>
      </c>
      <c r="V14" s="2">
        <v>708874</v>
      </c>
      <c r="W14" s="2">
        <v>119440</v>
      </c>
      <c r="X14" s="2" t="s">
        <v>36</v>
      </c>
      <c r="Y14" s="2" t="s">
        <v>37</v>
      </c>
      <c r="Z14" s="2">
        <v>1.71</v>
      </c>
      <c r="AA14" s="2">
        <v>21.85</v>
      </c>
      <c r="AB14" s="2">
        <v>33.64</v>
      </c>
      <c r="AC14" s="2">
        <v>62.24</v>
      </c>
      <c r="AE14" s="66" t="s">
        <v>60</v>
      </c>
    </row>
    <row r="15" spans="1:31" s="2" customFormat="1" x14ac:dyDescent="0.6">
      <c r="A15" s="2">
        <v>12</v>
      </c>
      <c r="B15" s="2" t="s">
        <v>57</v>
      </c>
      <c r="C15" s="2" t="s">
        <v>45</v>
      </c>
      <c r="D15" s="2" t="s">
        <v>34</v>
      </c>
      <c r="E15" s="2">
        <v>8</v>
      </c>
      <c r="F15" s="2">
        <v>2.5000000000000001E-2</v>
      </c>
      <c r="G15" s="2">
        <v>0.5</v>
      </c>
      <c r="H15" s="2">
        <v>0.1</v>
      </c>
      <c r="I15" s="2">
        <f t="shared" si="2"/>
        <v>400</v>
      </c>
      <c r="J15" s="2">
        <f t="shared" si="3"/>
        <v>20</v>
      </c>
      <c r="K15" s="15">
        <v>150000</v>
      </c>
      <c r="L15" s="59" t="s">
        <v>46</v>
      </c>
      <c r="M15" s="59" t="s">
        <v>46</v>
      </c>
      <c r="N15" s="2">
        <v>1</v>
      </c>
      <c r="O15" s="2">
        <v>400</v>
      </c>
      <c r="P15" s="24"/>
      <c r="Q15" s="24" t="s">
        <v>53</v>
      </c>
      <c r="R15" s="83">
        <v>7.0691000000000004E-2</v>
      </c>
      <c r="S15" s="83">
        <v>0.234733</v>
      </c>
      <c r="T15" s="2">
        <v>9</v>
      </c>
      <c r="U15" s="2">
        <v>432727</v>
      </c>
      <c r="V15" s="2">
        <v>708877</v>
      </c>
      <c r="W15" s="2">
        <v>119440</v>
      </c>
      <c r="X15" s="2" t="s">
        <v>42</v>
      </c>
      <c r="Y15" s="2" t="s">
        <v>43</v>
      </c>
      <c r="Z15" s="2">
        <v>45.56</v>
      </c>
      <c r="AA15" s="2">
        <v>578.78</v>
      </c>
      <c r="AB15" s="2">
        <v>1090</v>
      </c>
      <c r="AC15" s="2">
        <v>1721.64</v>
      </c>
      <c r="AE15" s="66" t="s">
        <v>61</v>
      </c>
    </row>
    <row r="16" spans="1:31" s="55" customFormat="1" x14ac:dyDescent="0.6">
      <c r="B16" s="55" t="s">
        <v>62</v>
      </c>
      <c r="K16" s="57"/>
      <c r="P16" s="56"/>
      <c r="Q16" s="56"/>
      <c r="R16" s="84"/>
      <c r="S16" s="84"/>
      <c r="AE16" s="67"/>
    </row>
    <row r="17" spans="1:31" s="3" customFormat="1" x14ac:dyDescent="0.6">
      <c r="A17" s="3">
        <v>13</v>
      </c>
      <c r="B17" s="3" t="s">
        <v>63</v>
      </c>
      <c r="C17" s="3" t="s">
        <v>33</v>
      </c>
      <c r="D17" s="3" t="s">
        <v>34</v>
      </c>
      <c r="E17" s="3">
        <v>4</v>
      </c>
      <c r="F17" s="3">
        <v>0.03</v>
      </c>
      <c r="G17" s="3">
        <v>0.4</v>
      </c>
      <c r="H17" s="3">
        <v>0.1</v>
      </c>
      <c r="I17" s="3">
        <f t="shared" ref="I17:I22" si="4">N17*O17</f>
        <v>60</v>
      </c>
      <c r="J17" s="3">
        <f t="shared" ref="J17:J22" si="5">G17/F17</f>
        <v>13.333333333333334</v>
      </c>
      <c r="K17" s="16">
        <v>150000</v>
      </c>
      <c r="L17" s="3">
        <v>8</v>
      </c>
      <c r="M17" s="3">
        <v>8</v>
      </c>
      <c r="N17" s="3">
        <v>5</v>
      </c>
      <c r="O17" s="3">
        <v>12</v>
      </c>
      <c r="P17" s="25"/>
      <c r="Q17" s="25" t="s">
        <v>53</v>
      </c>
      <c r="R17" s="85">
        <v>1.7648E-2</v>
      </c>
      <c r="S17" s="85">
        <v>0.100162</v>
      </c>
      <c r="T17" s="61">
        <v>10</v>
      </c>
      <c r="U17" s="61">
        <v>3063</v>
      </c>
      <c r="V17" s="61">
        <v>3753</v>
      </c>
      <c r="W17" s="61">
        <v>1007</v>
      </c>
      <c r="X17" s="61" t="s">
        <v>36</v>
      </c>
      <c r="Y17" s="61" t="s">
        <v>37</v>
      </c>
      <c r="Z17" s="61">
        <v>0.05</v>
      </c>
      <c r="AA17" s="61">
        <v>0.22</v>
      </c>
      <c r="AB17" s="61">
        <v>131.49</v>
      </c>
      <c r="AC17" s="61">
        <v>259.93</v>
      </c>
      <c r="AE17" s="68" t="s">
        <v>64</v>
      </c>
    </row>
    <row r="18" spans="1:31" s="3" customFormat="1" x14ac:dyDescent="0.6">
      <c r="A18" s="3">
        <v>14</v>
      </c>
      <c r="B18" s="3" t="s">
        <v>65</v>
      </c>
      <c r="C18" s="3" t="s">
        <v>33</v>
      </c>
      <c r="D18" s="3" t="s">
        <v>34</v>
      </c>
      <c r="E18" s="3">
        <v>6</v>
      </c>
      <c r="F18" s="3">
        <v>0.03</v>
      </c>
      <c r="G18" s="3">
        <v>0.4</v>
      </c>
      <c r="H18" s="3">
        <v>0.1</v>
      </c>
      <c r="I18" s="3">
        <f t="shared" si="4"/>
        <v>230</v>
      </c>
      <c r="J18" s="3">
        <f t="shared" si="5"/>
        <v>13.333333333333334</v>
      </c>
      <c r="K18" s="16">
        <v>150000</v>
      </c>
      <c r="L18" s="3">
        <v>8</v>
      </c>
      <c r="M18" s="3">
        <v>8</v>
      </c>
      <c r="N18" s="3">
        <v>5</v>
      </c>
      <c r="O18" s="3">
        <v>46</v>
      </c>
      <c r="P18" s="25"/>
      <c r="Q18" s="25" t="s">
        <v>53</v>
      </c>
      <c r="R18" s="85">
        <v>7.7662799853614947E-2</v>
      </c>
      <c r="S18" s="85">
        <v>0.43174356373876371</v>
      </c>
      <c r="T18" s="61">
        <v>14</v>
      </c>
      <c r="U18" s="61">
        <v>16593</v>
      </c>
      <c r="V18" s="61">
        <v>21784</v>
      </c>
      <c r="W18" s="61">
        <v>6628</v>
      </c>
      <c r="X18" s="61" t="s">
        <v>36</v>
      </c>
      <c r="Y18" s="61" t="s">
        <v>37</v>
      </c>
      <c r="Z18" s="61">
        <v>1.49</v>
      </c>
      <c r="AA18" s="61">
        <v>1.32</v>
      </c>
      <c r="AB18" s="61">
        <v>4.22</v>
      </c>
      <c r="AC18" s="61">
        <v>17.190000000000001</v>
      </c>
      <c r="AE18" s="68" t="s">
        <v>66</v>
      </c>
    </row>
    <row r="19" spans="1:31" s="3" customFormat="1" x14ac:dyDescent="0.6">
      <c r="A19" s="3">
        <v>15</v>
      </c>
      <c r="B19" s="3" t="s">
        <v>67</v>
      </c>
      <c r="C19" s="3" t="s">
        <v>33</v>
      </c>
      <c r="D19" s="3" t="s">
        <v>34</v>
      </c>
      <c r="E19" s="3">
        <v>8</v>
      </c>
      <c r="F19" s="3">
        <v>0.03</v>
      </c>
      <c r="G19" s="3">
        <v>0.4</v>
      </c>
      <c r="H19" s="3">
        <v>0.1</v>
      </c>
      <c r="I19" s="3">
        <f t="shared" si="4"/>
        <v>920</v>
      </c>
      <c r="J19" s="3">
        <f t="shared" si="5"/>
        <v>13.333333333333334</v>
      </c>
      <c r="K19" s="16">
        <v>150000</v>
      </c>
      <c r="L19" s="3">
        <v>16</v>
      </c>
      <c r="M19" s="3">
        <v>8</v>
      </c>
      <c r="N19" s="3">
        <v>5</v>
      </c>
      <c r="O19" s="3">
        <v>184</v>
      </c>
      <c r="P19" s="25"/>
      <c r="Q19" s="25" t="s">
        <v>53</v>
      </c>
      <c r="R19" s="85">
        <v>120.614592</v>
      </c>
      <c r="S19" s="85">
        <v>670.52188699999999</v>
      </c>
      <c r="T19" s="61">
        <v>17</v>
      </c>
      <c r="U19" s="61">
        <v>84118</v>
      </c>
      <c r="V19" s="61">
        <v>117378</v>
      </c>
      <c r="W19" s="61">
        <v>40270</v>
      </c>
      <c r="X19" s="61" t="s">
        <v>42</v>
      </c>
      <c r="Y19" s="61" t="s">
        <v>43</v>
      </c>
      <c r="Z19" s="61">
        <v>55.81</v>
      </c>
      <c r="AA19" s="61">
        <v>25.81</v>
      </c>
      <c r="AB19" s="61">
        <v>442.87</v>
      </c>
      <c r="AC19" s="61">
        <v>1072.96</v>
      </c>
      <c r="AE19" s="68" t="s">
        <v>68</v>
      </c>
    </row>
    <row r="20" spans="1:31" s="3" customFormat="1" x14ac:dyDescent="0.6">
      <c r="A20" s="3">
        <v>16</v>
      </c>
      <c r="B20" s="3" t="s">
        <v>63</v>
      </c>
      <c r="C20" s="3" t="s">
        <v>45</v>
      </c>
      <c r="D20" s="3" t="s">
        <v>34</v>
      </c>
      <c r="E20" s="3">
        <v>4</v>
      </c>
      <c r="F20" s="3">
        <v>0.03</v>
      </c>
      <c r="G20" s="3">
        <v>0.4</v>
      </c>
      <c r="H20" s="3">
        <v>0.1</v>
      </c>
      <c r="I20" s="3">
        <f t="shared" si="4"/>
        <v>60</v>
      </c>
      <c r="J20" s="3">
        <f t="shared" si="5"/>
        <v>13.333333333333334</v>
      </c>
      <c r="K20" s="16">
        <v>150000</v>
      </c>
      <c r="L20" s="58" t="s">
        <v>46</v>
      </c>
      <c r="M20" s="58" t="s">
        <v>46</v>
      </c>
      <c r="N20" s="3">
        <v>1</v>
      </c>
      <c r="O20" s="3">
        <v>60</v>
      </c>
      <c r="P20" s="25"/>
      <c r="Q20" s="25" t="s">
        <v>53</v>
      </c>
      <c r="R20" s="85">
        <v>0.15390300000000001</v>
      </c>
      <c r="S20" s="85">
        <v>0.87346599999999996</v>
      </c>
      <c r="T20" s="61">
        <v>9</v>
      </c>
      <c r="U20" s="61">
        <v>432601</v>
      </c>
      <c r="V20" s="61">
        <v>708746</v>
      </c>
      <c r="W20" s="61">
        <v>119440</v>
      </c>
      <c r="X20" s="61" t="s">
        <v>36</v>
      </c>
      <c r="Y20" s="61" t="s">
        <v>37</v>
      </c>
      <c r="Z20" s="61">
        <v>0.26</v>
      </c>
      <c r="AA20" s="61">
        <v>3.29</v>
      </c>
      <c r="AB20" s="61">
        <v>4.99</v>
      </c>
      <c r="AC20" s="61">
        <v>15.01</v>
      </c>
      <c r="AE20" s="68" t="s">
        <v>69</v>
      </c>
    </row>
    <row r="21" spans="1:31" s="3" customFormat="1" x14ac:dyDescent="0.6">
      <c r="A21" s="3">
        <v>17</v>
      </c>
      <c r="B21" s="3" t="s">
        <v>65</v>
      </c>
      <c r="C21" s="3" t="s">
        <v>45</v>
      </c>
      <c r="D21" s="3" t="s">
        <v>34</v>
      </c>
      <c r="E21" s="3">
        <v>6</v>
      </c>
      <c r="F21" s="3">
        <v>0.03</v>
      </c>
      <c r="G21" s="3">
        <v>0.4</v>
      </c>
      <c r="H21" s="3">
        <v>0.1</v>
      </c>
      <c r="I21" s="3">
        <f t="shared" si="4"/>
        <v>230</v>
      </c>
      <c r="J21" s="3">
        <f t="shared" si="5"/>
        <v>13.333333333333334</v>
      </c>
      <c r="K21" s="16">
        <v>150000</v>
      </c>
      <c r="L21" s="58" t="s">
        <v>46</v>
      </c>
      <c r="M21" s="58" t="s">
        <v>46</v>
      </c>
      <c r="N21" s="3">
        <v>1</v>
      </c>
      <c r="O21" s="3">
        <v>230</v>
      </c>
      <c r="P21" s="25"/>
      <c r="Q21" s="25" t="s">
        <v>53</v>
      </c>
      <c r="R21" s="85">
        <v>4.9915000000000001E-2</v>
      </c>
      <c r="S21" s="85">
        <v>0.27748800000000001</v>
      </c>
      <c r="T21" s="61">
        <v>9</v>
      </c>
      <c r="U21" s="61">
        <v>432599</v>
      </c>
      <c r="V21" s="61">
        <v>708746</v>
      </c>
      <c r="W21" s="61">
        <v>119440</v>
      </c>
      <c r="X21" s="61" t="s">
        <v>36</v>
      </c>
      <c r="Y21" s="61" t="s">
        <v>37</v>
      </c>
      <c r="Z21" s="61">
        <v>3.8</v>
      </c>
      <c r="AA21" s="61">
        <v>50.41</v>
      </c>
      <c r="AB21" s="61">
        <v>76.42</v>
      </c>
      <c r="AC21" s="61">
        <v>135.74</v>
      </c>
      <c r="AE21" s="68" t="s">
        <v>70</v>
      </c>
    </row>
    <row r="22" spans="1:31" s="3" customFormat="1" x14ac:dyDescent="0.6">
      <c r="A22" s="3">
        <v>18</v>
      </c>
      <c r="B22" s="3" t="s">
        <v>67</v>
      </c>
      <c r="C22" s="3" t="s">
        <v>45</v>
      </c>
      <c r="D22" s="3" t="s">
        <v>34</v>
      </c>
      <c r="E22" s="3">
        <v>8</v>
      </c>
      <c r="F22" s="3">
        <v>0.03</v>
      </c>
      <c r="G22" s="3">
        <v>0.4</v>
      </c>
      <c r="H22" s="3">
        <v>0.1</v>
      </c>
      <c r="I22" s="3">
        <f t="shared" si="4"/>
        <v>920</v>
      </c>
      <c r="J22" s="3">
        <f t="shared" si="5"/>
        <v>13.333333333333334</v>
      </c>
      <c r="K22" s="16">
        <v>150000</v>
      </c>
      <c r="L22" s="58" t="s">
        <v>46</v>
      </c>
      <c r="M22" s="58" t="s">
        <v>46</v>
      </c>
      <c r="N22" s="3">
        <v>1</v>
      </c>
      <c r="O22" s="3">
        <v>920</v>
      </c>
      <c r="P22" s="25"/>
      <c r="Q22" s="25" t="s">
        <v>53</v>
      </c>
      <c r="R22" s="85">
        <v>8.0782999999999994E-2</v>
      </c>
      <c r="S22" s="85">
        <v>0.44908900000000002</v>
      </c>
      <c r="T22" s="61">
        <v>9</v>
      </c>
      <c r="U22" s="61">
        <v>432576</v>
      </c>
      <c r="V22" s="61">
        <v>708725</v>
      </c>
      <c r="W22" s="61">
        <v>119440</v>
      </c>
      <c r="X22" s="61" t="s">
        <v>42</v>
      </c>
      <c r="Y22" s="61" t="s">
        <v>43</v>
      </c>
      <c r="Z22" s="61">
        <v>93.42</v>
      </c>
      <c r="AA22" s="61">
        <v>1347.38</v>
      </c>
      <c r="AB22" s="61">
        <v>2495.88</v>
      </c>
      <c r="AC22" s="61">
        <v>3943.98</v>
      </c>
      <c r="AE22" s="68" t="s">
        <v>71</v>
      </c>
    </row>
    <row r="23" spans="1:31" s="46" customFormat="1" ht="17.05" customHeight="1" x14ac:dyDescent="0.6">
      <c r="B23" s="46" t="s">
        <v>72</v>
      </c>
      <c r="K23" s="48"/>
      <c r="P23" s="47"/>
      <c r="Q23" s="47"/>
      <c r="R23" s="86"/>
      <c r="S23" s="86"/>
      <c r="AD23" s="4"/>
      <c r="AE23" s="69"/>
    </row>
    <row r="24" spans="1:31" s="4" customFormat="1" ht="17.05" customHeight="1" x14ac:dyDescent="0.6">
      <c r="A24" s="4">
        <v>19</v>
      </c>
      <c r="B24" s="4" t="s">
        <v>73</v>
      </c>
      <c r="C24" s="4" t="s">
        <v>33</v>
      </c>
      <c r="D24" s="4" t="s">
        <v>74</v>
      </c>
      <c r="E24" s="4">
        <v>3</v>
      </c>
      <c r="F24" s="4">
        <v>0.08</v>
      </c>
      <c r="G24" s="4">
        <v>0.3</v>
      </c>
      <c r="H24" s="4">
        <v>0.3</v>
      </c>
      <c r="I24" s="4">
        <f t="shared" ref="I24:I29" si="6">N24*O24</f>
        <v>1</v>
      </c>
      <c r="J24" s="4">
        <f t="shared" ref="J24:J29" si="7">G24/F24</f>
        <v>3.75</v>
      </c>
      <c r="K24" s="17">
        <v>150000</v>
      </c>
      <c r="L24" s="4">
        <v>8</v>
      </c>
      <c r="M24" s="4">
        <v>8</v>
      </c>
      <c r="N24" s="4">
        <v>1</v>
      </c>
      <c r="O24" s="4">
        <v>1</v>
      </c>
      <c r="P24" s="26" t="s">
        <v>75</v>
      </c>
      <c r="Q24" s="26" t="s">
        <v>76</v>
      </c>
      <c r="R24" s="87">
        <v>0.11948499999999999</v>
      </c>
      <c r="S24" s="87">
        <v>0.63414599999999999</v>
      </c>
      <c r="T24" s="4">
        <v>5</v>
      </c>
      <c r="U24" s="4">
        <v>286</v>
      </c>
      <c r="V24" s="4">
        <v>466</v>
      </c>
      <c r="W24" s="4">
        <v>97</v>
      </c>
      <c r="X24" s="4" t="s">
        <v>77</v>
      </c>
      <c r="Y24" s="4" t="s">
        <v>78</v>
      </c>
      <c r="AC24" s="4">
        <v>613.46</v>
      </c>
      <c r="AD24" s="4" t="s">
        <v>47</v>
      </c>
      <c r="AE24" s="70" t="s">
        <v>79</v>
      </c>
    </row>
    <row r="25" spans="1:31" s="4" customFormat="1" x14ac:dyDescent="0.6">
      <c r="A25" s="4">
        <v>20</v>
      </c>
      <c r="B25" s="4" t="s">
        <v>73</v>
      </c>
      <c r="C25" s="4" t="s">
        <v>33</v>
      </c>
      <c r="D25" s="4" t="s">
        <v>80</v>
      </c>
      <c r="E25" s="4">
        <v>3</v>
      </c>
      <c r="F25" s="4">
        <v>0.08</v>
      </c>
      <c r="G25" s="4">
        <v>0.3</v>
      </c>
      <c r="H25" s="4">
        <v>0.3</v>
      </c>
      <c r="I25" s="4">
        <f t="shared" si="6"/>
        <v>1</v>
      </c>
      <c r="J25" s="4">
        <f t="shared" si="7"/>
        <v>3.75</v>
      </c>
      <c r="K25" s="17">
        <v>150000</v>
      </c>
      <c r="L25" s="4">
        <v>8</v>
      </c>
      <c r="M25" s="4">
        <v>8</v>
      </c>
      <c r="N25" s="4">
        <v>1</v>
      </c>
      <c r="O25" s="4">
        <v>1</v>
      </c>
      <c r="P25" s="26" t="s">
        <v>75</v>
      </c>
      <c r="Q25" s="26" t="s">
        <v>76</v>
      </c>
      <c r="R25" s="87">
        <v>0.112124</v>
      </c>
      <c r="S25" s="87">
        <v>0.595078</v>
      </c>
      <c r="T25" s="4">
        <v>5</v>
      </c>
      <c r="U25" s="4">
        <v>313</v>
      </c>
      <c r="V25" s="4">
        <v>470</v>
      </c>
      <c r="W25" s="4">
        <v>97</v>
      </c>
      <c r="X25" s="4" t="s">
        <v>77</v>
      </c>
      <c r="Y25" s="4" t="s">
        <v>78</v>
      </c>
      <c r="AC25" s="4">
        <v>678.42</v>
      </c>
      <c r="AD25" s="4" t="s">
        <v>47</v>
      </c>
      <c r="AE25" s="70" t="s">
        <v>81</v>
      </c>
    </row>
    <row r="26" spans="1:31" s="4" customFormat="1" x14ac:dyDescent="0.6">
      <c r="A26" s="4">
        <v>21</v>
      </c>
      <c r="B26" s="4" t="s">
        <v>73</v>
      </c>
      <c r="C26" s="4" t="s">
        <v>33</v>
      </c>
      <c r="D26" s="4" t="s">
        <v>82</v>
      </c>
      <c r="E26" s="4">
        <v>3</v>
      </c>
      <c r="F26" s="4">
        <v>0.08</v>
      </c>
      <c r="G26" s="4">
        <v>0.3</v>
      </c>
      <c r="H26" s="4">
        <v>0.3</v>
      </c>
      <c r="I26" s="4">
        <f t="shared" si="6"/>
        <v>1</v>
      </c>
      <c r="J26" s="4">
        <f t="shared" si="7"/>
        <v>3.75</v>
      </c>
      <c r="K26" s="17">
        <v>150000</v>
      </c>
      <c r="L26" s="4">
        <v>8</v>
      </c>
      <c r="M26" s="4">
        <v>8</v>
      </c>
      <c r="N26" s="4">
        <v>1</v>
      </c>
      <c r="O26" s="4">
        <v>1</v>
      </c>
      <c r="P26" s="26" t="s">
        <v>75</v>
      </c>
      <c r="Q26" s="26" t="s">
        <v>76</v>
      </c>
      <c r="R26" s="87">
        <v>0.153282</v>
      </c>
      <c r="S26" s="87">
        <v>0.81351399999999996</v>
      </c>
      <c r="T26" s="4">
        <v>5</v>
      </c>
      <c r="U26" s="4">
        <v>311</v>
      </c>
      <c r="V26" s="4">
        <v>476</v>
      </c>
      <c r="W26" s="4">
        <v>97</v>
      </c>
      <c r="X26" s="4" t="s">
        <v>77</v>
      </c>
      <c r="Y26" s="4" t="s">
        <v>78</v>
      </c>
      <c r="AC26" s="4">
        <v>53817.56</v>
      </c>
      <c r="AD26" s="4" t="s">
        <v>47</v>
      </c>
      <c r="AE26" s="70" t="s">
        <v>83</v>
      </c>
    </row>
    <row r="27" spans="1:31" s="4" customFormat="1" x14ac:dyDescent="0.6">
      <c r="A27" s="4">
        <v>22</v>
      </c>
      <c r="B27" s="4" t="s">
        <v>73</v>
      </c>
      <c r="C27" s="4" t="s">
        <v>33</v>
      </c>
      <c r="D27" s="4" t="s">
        <v>84</v>
      </c>
      <c r="E27" s="4">
        <v>3</v>
      </c>
      <c r="F27" s="4">
        <v>0.08</v>
      </c>
      <c r="G27" s="4">
        <v>0.3</v>
      </c>
      <c r="H27" s="4">
        <v>0.3</v>
      </c>
      <c r="I27" s="4">
        <f t="shared" si="6"/>
        <v>1</v>
      </c>
      <c r="J27" s="4">
        <f t="shared" si="7"/>
        <v>3.75</v>
      </c>
      <c r="K27" s="17">
        <v>150000</v>
      </c>
      <c r="L27" s="4">
        <v>8</v>
      </c>
      <c r="M27" s="4">
        <v>8</v>
      </c>
      <c r="N27" s="4">
        <v>1</v>
      </c>
      <c r="O27" s="4">
        <v>1</v>
      </c>
      <c r="P27" s="26" t="s">
        <v>75</v>
      </c>
      <c r="Q27" s="26" t="s">
        <v>76</v>
      </c>
      <c r="R27" s="87">
        <v>0.10860400000000001</v>
      </c>
      <c r="S27" s="87">
        <v>0.57639499999999999</v>
      </c>
      <c r="T27" s="4">
        <v>5</v>
      </c>
      <c r="U27" s="4">
        <v>307</v>
      </c>
      <c r="V27" s="4">
        <v>482</v>
      </c>
      <c r="W27" s="4">
        <v>98</v>
      </c>
      <c r="X27" s="4" t="s">
        <v>77</v>
      </c>
      <c r="Y27" s="4" t="s">
        <v>78</v>
      </c>
      <c r="AC27" s="4">
        <v>5369.95</v>
      </c>
      <c r="AD27" s="4" t="s">
        <v>47</v>
      </c>
      <c r="AE27" s="70" t="s">
        <v>85</v>
      </c>
    </row>
    <row r="28" spans="1:31" s="4" customFormat="1" x14ac:dyDescent="0.6">
      <c r="A28" s="4">
        <v>23</v>
      </c>
      <c r="B28" s="4" t="s">
        <v>86</v>
      </c>
      <c r="C28" s="4" t="s">
        <v>33</v>
      </c>
      <c r="D28" s="4" t="s">
        <v>34</v>
      </c>
      <c r="E28" s="4">
        <v>3</v>
      </c>
      <c r="F28" s="4">
        <v>0.08</v>
      </c>
      <c r="G28" s="4">
        <v>0.3</v>
      </c>
      <c r="H28" s="4">
        <v>0.3</v>
      </c>
      <c r="I28" s="4">
        <f t="shared" si="6"/>
        <v>1</v>
      </c>
      <c r="J28" s="4">
        <f t="shared" si="7"/>
        <v>3.75</v>
      </c>
      <c r="K28" s="17">
        <v>150000</v>
      </c>
      <c r="L28" s="4">
        <v>8</v>
      </c>
      <c r="M28" s="4">
        <v>8</v>
      </c>
      <c r="N28" s="4">
        <v>1</v>
      </c>
      <c r="O28" s="4">
        <v>1</v>
      </c>
      <c r="P28" s="26"/>
      <c r="Q28" s="26" t="s">
        <v>76</v>
      </c>
      <c r="R28" s="87">
        <v>2.8732000000000001E-2</v>
      </c>
      <c r="S28" s="87">
        <v>0.15248700000000001</v>
      </c>
      <c r="T28" s="4">
        <v>5</v>
      </c>
      <c r="U28" s="4">
        <v>227</v>
      </c>
      <c r="V28" s="4">
        <v>288</v>
      </c>
      <c r="W28" s="4">
        <v>71</v>
      </c>
      <c r="X28" s="4" t="s">
        <v>36</v>
      </c>
      <c r="Y28" s="4" t="s">
        <v>37</v>
      </c>
      <c r="Z28" s="4">
        <v>0.01</v>
      </c>
      <c r="AA28" s="4">
        <v>0.32</v>
      </c>
      <c r="AB28" s="4">
        <v>0.09</v>
      </c>
      <c r="AC28" s="4">
        <v>4.78</v>
      </c>
      <c r="AE28" s="70" t="s">
        <v>87</v>
      </c>
    </row>
    <row r="29" spans="1:31" s="4" customFormat="1" x14ac:dyDescent="0.6">
      <c r="A29" s="4">
        <v>24</v>
      </c>
      <c r="B29" s="4" t="s">
        <v>86</v>
      </c>
      <c r="C29" s="4" t="s">
        <v>33</v>
      </c>
      <c r="D29" s="4" t="s">
        <v>34</v>
      </c>
      <c r="E29" s="4">
        <v>3</v>
      </c>
      <c r="F29" s="4">
        <v>0.08</v>
      </c>
      <c r="G29" s="4">
        <v>0.3</v>
      </c>
      <c r="H29" s="4">
        <v>0.3</v>
      </c>
      <c r="I29" s="4">
        <f t="shared" si="6"/>
        <v>1</v>
      </c>
      <c r="J29" s="4">
        <f t="shared" si="7"/>
        <v>3.75</v>
      </c>
      <c r="K29" s="17">
        <v>0</v>
      </c>
      <c r="L29" s="4">
        <v>8</v>
      </c>
      <c r="M29" s="4">
        <v>8</v>
      </c>
      <c r="N29" s="4">
        <v>1</v>
      </c>
      <c r="O29" s="4">
        <v>1</v>
      </c>
      <c r="P29" s="26"/>
      <c r="Q29" s="26" t="s">
        <v>76</v>
      </c>
      <c r="R29" s="87">
        <v>2.6860999999999999E-2</v>
      </c>
      <c r="S29" s="87">
        <v>0.14255899999999999</v>
      </c>
      <c r="X29" s="4" t="s">
        <v>36</v>
      </c>
      <c r="Y29" s="4" t="s">
        <v>37</v>
      </c>
      <c r="Z29" s="4">
        <v>0</v>
      </c>
      <c r="AA29" s="4">
        <v>0</v>
      </c>
      <c r="AB29" s="4">
        <v>0</v>
      </c>
      <c r="AC29" s="4">
        <v>0.03</v>
      </c>
      <c r="AE29" s="70" t="s">
        <v>88</v>
      </c>
    </row>
    <row r="30" spans="1:31" s="43" customFormat="1" x14ac:dyDescent="0.6">
      <c r="B30" s="43" t="s">
        <v>89</v>
      </c>
      <c r="K30" s="45"/>
      <c r="P30" s="44"/>
      <c r="Q30" s="44"/>
      <c r="R30" s="88"/>
      <c r="S30" s="88"/>
      <c r="AE30" s="71"/>
    </row>
    <row r="31" spans="1:31" s="5" customFormat="1" ht="17.05" customHeight="1" x14ac:dyDescent="0.6">
      <c r="A31" s="5">
        <v>26</v>
      </c>
      <c r="B31" s="10" t="s">
        <v>90</v>
      </c>
      <c r="C31" s="5" t="s">
        <v>33</v>
      </c>
      <c r="D31" s="5" t="s">
        <v>91</v>
      </c>
      <c r="E31" s="5">
        <v>8</v>
      </c>
      <c r="F31" s="5">
        <v>0.03</v>
      </c>
      <c r="G31" s="5">
        <v>0.3</v>
      </c>
      <c r="H31" s="5">
        <v>0.1</v>
      </c>
      <c r="I31" s="5">
        <f>N31*O31</f>
        <v>512</v>
      </c>
      <c r="J31" s="5">
        <f>G31/F31</f>
        <v>10</v>
      </c>
      <c r="K31" s="18">
        <v>0</v>
      </c>
      <c r="L31" s="5">
        <v>4</v>
      </c>
      <c r="M31" s="5">
        <v>8</v>
      </c>
      <c r="N31" s="5">
        <v>512</v>
      </c>
      <c r="O31" s="5">
        <v>1</v>
      </c>
      <c r="P31" s="27"/>
      <c r="Q31" s="27" t="s">
        <v>92</v>
      </c>
      <c r="R31" s="89">
        <v>2.8E-5</v>
      </c>
      <c r="S31" s="89">
        <v>1.6899999999999999E-4</v>
      </c>
      <c r="X31" s="5" t="s">
        <v>93</v>
      </c>
      <c r="Y31" s="5" t="s">
        <v>43</v>
      </c>
      <c r="Z31" s="5">
        <v>0</v>
      </c>
      <c r="AA31" s="5">
        <v>0</v>
      </c>
      <c r="AB31" s="5">
        <v>0</v>
      </c>
      <c r="AC31" s="5">
        <v>221.77</v>
      </c>
      <c r="AD31" s="5" t="s">
        <v>47</v>
      </c>
      <c r="AE31" s="72" t="s">
        <v>94</v>
      </c>
    </row>
    <row r="32" spans="1:31" s="5" customFormat="1" ht="17.05" customHeight="1" x14ac:dyDescent="0.6">
      <c r="A32" s="5" t="s">
        <v>95</v>
      </c>
      <c r="B32" s="10" t="s">
        <v>90</v>
      </c>
      <c r="C32" s="5" t="s">
        <v>33</v>
      </c>
      <c r="D32" s="5" t="s">
        <v>96</v>
      </c>
      <c r="E32" s="5">
        <v>8</v>
      </c>
      <c r="F32" s="5">
        <v>0.03</v>
      </c>
      <c r="G32" s="5">
        <v>0.3</v>
      </c>
      <c r="H32" s="5">
        <v>0.1</v>
      </c>
      <c r="I32" s="5">
        <f>N32*O32</f>
        <v>512</v>
      </c>
      <c r="J32" s="5">
        <f>G32/F32</f>
        <v>10</v>
      </c>
      <c r="K32" s="18">
        <v>0</v>
      </c>
      <c r="L32" s="5">
        <v>4</v>
      </c>
      <c r="M32" s="5">
        <v>8</v>
      </c>
      <c r="N32" s="5">
        <v>512</v>
      </c>
      <c r="O32" s="5">
        <v>1</v>
      </c>
      <c r="P32" s="27"/>
      <c r="Q32" s="27" t="s">
        <v>92</v>
      </c>
      <c r="R32" s="89">
        <v>2.8113020000000001E-5</v>
      </c>
      <c r="S32" s="89">
        <v>1.6867414636E-4</v>
      </c>
      <c r="X32" s="5" t="s">
        <v>36</v>
      </c>
      <c r="Y32" s="5" t="s">
        <v>37</v>
      </c>
      <c r="Z32" s="5">
        <v>0</v>
      </c>
      <c r="AA32" s="5">
        <v>0</v>
      </c>
      <c r="AB32" s="5">
        <v>0</v>
      </c>
      <c r="AC32" s="5">
        <v>39.869999999999997</v>
      </c>
      <c r="AD32" s="5" t="s">
        <v>97</v>
      </c>
      <c r="AE32" s="72" t="s">
        <v>98</v>
      </c>
    </row>
    <row r="33" spans="1:31" s="5" customFormat="1" ht="17.05" customHeight="1" x14ac:dyDescent="0.6">
      <c r="A33" s="5" t="s">
        <v>99</v>
      </c>
      <c r="B33" s="10" t="s">
        <v>100</v>
      </c>
      <c r="C33" s="5" t="s">
        <v>33</v>
      </c>
      <c r="D33" s="5" t="s">
        <v>91</v>
      </c>
      <c r="E33" s="5">
        <v>8</v>
      </c>
      <c r="F33" s="5">
        <v>0.03</v>
      </c>
      <c r="G33" s="5">
        <v>0.3</v>
      </c>
      <c r="H33" s="5">
        <v>0.1</v>
      </c>
      <c r="I33" s="5">
        <f>N33*O33</f>
        <v>512</v>
      </c>
      <c r="J33" s="5">
        <f>G33/F33</f>
        <v>10</v>
      </c>
      <c r="K33" s="18">
        <v>131072</v>
      </c>
      <c r="L33" s="5">
        <v>4</v>
      </c>
      <c r="M33" s="5">
        <v>8</v>
      </c>
      <c r="N33" s="5">
        <v>512</v>
      </c>
      <c r="O33" s="5">
        <v>1</v>
      </c>
      <c r="P33" s="27"/>
      <c r="Q33" s="27" t="s">
        <v>92</v>
      </c>
      <c r="R33" s="90" t="s">
        <v>46</v>
      </c>
      <c r="S33" s="90" t="s">
        <v>46</v>
      </c>
      <c r="T33" s="32"/>
      <c r="U33" s="32"/>
      <c r="V33" s="32"/>
      <c r="W33" s="32"/>
      <c r="X33" s="5" t="s">
        <v>93</v>
      </c>
      <c r="Y33" s="5" t="s">
        <v>43</v>
      </c>
      <c r="AD33" s="5" t="s">
        <v>101</v>
      </c>
      <c r="AE33" s="100" t="s">
        <v>102</v>
      </c>
    </row>
    <row r="34" spans="1:31" s="35" customFormat="1" x14ac:dyDescent="0.6">
      <c r="A34" s="5">
        <v>27</v>
      </c>
      <c r="B34" s="10" t="s">
        <v>100</v>
      </c>
      <c r="C34" s="5" t="s">
        <v>33</v>
      </c>
      <c r="D34" s="5" t="s">
        <v>91</v>
      </c>
      <c r="E34" s="5">
        <v>8</v>
      </c>
      <c r="F34" s="5">
        <v>0.03</v>
      </c>
      <c r="G34" s="5">
        <v>0.3</v>
      </c>
      <c r="H34" s="5">
        <v>0.1</v>
      </c>
      <c r="I34" s="5">
        <f>N34*O34</f>
        <v>512</v>
      </c>
      <c r="J34" s="5">
        <f>G34/F34</f>
        <v>10</v>
      </c>
      <c r="K34" s="18">
        <v>131072</v>
      </c>
      <c r="L34" s="5">
        <v>4</v>
      </c>
      <c r="M34" s="5">
        <v>8</v>
      </c>
      <c r="N34" s="5">
        <v>512</v>
      </c>
      <c r="O34" s="5">
        <v>1</v>
      </c>
      <c r="P34" s="27"/>
      <c r="Q34" s="27" t="s">
        <v>92</v>
      </c>
      <c r="R34" s="90">
        <v>1.0512000000000001E-2</v>
      </c>
      <c r="S34" s="90">
        <v>6.3073000000000004E-2</v>
      </c>
      <c r="T34" s="32">
        <v>11</v>
      </c>
      <c r="U34" s="32">
        <v>15833</v>
      </c>
      <c r="V34" s="32">
        <v>22033</v>
      </c>
      <c r="W34" s="32">
        <v>7846</v>
      </c>
      <c r="X34" s="5" t="s">
        <v>93</v>
      </c>
      <c r="Y34" s="5" t="s">
        <v>43</v>
      </c>
      <c r="Z34" s="5">
        <v>15.43</v>
      </c>
      <c r="AA34" s="5">
        <v>7.19</v>
      </c>
      <c r="AB34" s="5">
        <v>51.65</v>
      </c>
      <c r="AC34" s="5">
        <v>349.83</v>
      </c>
      <c r="AD34" s="5" t="s">
        <v>103</v>
      </c>
      <c r="AE34" s="100" t="s">
        <v>104</v>
      </c>
    </row>
    <row r="35" spans="1:31" s="6" customFormat="1" ht="17.05" customHeight="1" x14ac:dyDescent="0.6">
      <c r="B35" s="36" t="s">
        <v>105</v>
      </c>
      <c r="K35" s="38"/>
      <c r="P35" s="37"/>
      <c r="Q35" s="37"/>
      <c r="R35" s="91"/>
      <c r="S35" s="92"/>
      <c r="AE35" s="73"/>
    </row>
    <row r="36" spans="1:31" s="6" customFormat="1" ht="17.05" customHeight="1" x14ac:dyDescent="0.6">
      <c r="A36" s="6">
        <v>28</v>
      </c>
      <c r="B36" s="11" t="s">
        <v>106</v>
      </c>
      <c r="C36" s="6" t="s">
        <v>33</v>
      </c>
      <c r="D36" s="6" t="s">
        <v>107</v>
      </c>
      <c r="E36" s="6">
        <v>8</v>
      </c>
      <c r="F36" s="6">
        <v>0.03</v>
      </c>
      <c r="G36" s="6">
        <v>0.3</v>
      </c>
      <c r="H36" s="6">
        <v>0.1</v>
      </c>
      <c r="I36" s="6">
        <f>N36*O36</f>
        <v>512</v>
      </c>
      <c r="J36" s="6">
        <f>G36/F36</f>
        <v>10</v>
      </c>
      <c r="K36" s="19">
        <v>131072</v>
      </c>
      <c r="L36" s="6">
        <v>4</v>
      </c>
      <c r="M36" s="6">
        <v>8</v>
      </c>
      <c r="N36" s="6">
        <v>2</v>
      </c>
      <c r="O36" s="6">
        <v>256</v>
      </c>
      <c r="P36" s="28"/>
      <c r="Q36" s="28" t="s">
        <v>92</v>
      </c>
      <c r="R36" s="93">
        <v>133.57000600000001</v>
      </c>
      <c r="S36" s="93">
        <v>801.40128300000003</v>
      </c>
      <c r="T36" s="6">
        <v>12</v>
      </c>
      <c r="U36" s="6">
        <v>31558</v>
      </c>
      <c r="V36" s="6">
        <v>43515</v>
      </c>
      <c r="W36" s="6">
        <v>15559</v>
      </c>
      <c r="X36" s="6" t="s">
        <v>42</v>
      </c>
      <c r="Y36" s="6" t="s">
        <v>43</v>
      </c>
      <c r="Z36" s="6">
        <v>93.11</v>
      </c>
      <c r="AA36" s="6">
        <v>54.54</v>
      </c>
      <c r="AB36" s="6">
        <v>220.62</v>
      </c>
      <c r="AC36" s="6">
        <v>801.33</v>
      </c>
      <c r="AD36" s="6" t="s">
        <v>47</v>
      </c>
      <c r="AE36" s="74" t="s">
        <v>108</v>
      </c>
    </row>
    <row r="37" spans="1:31" s="6" customFormat="1" ht="17.05" customHeight="1" x14ac:dyDescent="0.6">
      <c r="A37" s="6">
        <v>29</v>
      </c>
      <c r="B37" s="11" t="s">
        <v>109</v>
      </c>
      <c r="C37" s="6" t="s">
        <v>33</v>
      </c>
      <c r="D37" s="6" t="s">
        <v>107</v>
      </c>
      <c r="E37" s="6">
        <v>8</v>
      </c>
      <c r="F37" s="6">
        <v>0.03</v>
      </c>
      <c r="G37" s="6">
        <v>0.3</v>
      </c>
      <c r="H37" s="6">
        <v>0.1</v>
      </c>
      <c r="I37" s="6">
        <f>N37*O37</f>
        <v>512</v>
      </c>
      <c r="J37" s="6">
        <f>G37/F37</f>
        <v>10</v>
      </c>
      <c r="K37" s="19">
        <v>131072</v>
      </c>
      <c r="L37" s="6">
        <v>4</v>
      </c>
      <c r="M37" s="6">
        <v>8</v>
      </c>
      <c r="N37" s="6">
        <v>4</v>
      </c>
      <c r="O37" s="6">
        <v>128</v>
      </c>
      <c r="P37" s="28"/>
      <c r="Q37" s="28" t="s">
        <v>92</v>
      </c>
      <c r="R37" s="93">
        <v>82.246827999999994</v>
      </c>
      <c r="S37" s="93">
        <v>493.469424</v>
      </c>
      <c r="T37" s="6">
        <v>14</v>
      </c>
      <c r="U37" s="6">
        <v>62580</v>
      </c>
      <c r="V37" s="6">
        <v>86021</v>
      </c>
      <c r="W37" s="6">
        <v>30987</v>
      </c>
      <c r="X37" s="6" t="s">
        <v>42</v>
      </c>
      <c r="Y37" s="6" t="s">
        <v>43</v>
      </c>
      <c r="Z37" s="6">
        <v>170.98</v>
      </c>
      <c r="AA37" s="6">
        <v>88.45</v>
      </c>
      <c r="AB37" s="6">
        <v>809.67</v>
      </c>
      <c r="AC37" s="6">
        <v>1125.3900000000001</v>
      </c>
      <c r="AD37" s="6" t="s">
        <v>47</v>
      </c>
      <c r="AE37" s="74" t="s">
        <v>110</v>
      </c>
    </row>
    <row r="38" spans="1:31" s="6" customFormat="1" ht="17.05" customHeight="1" x14ac:dyDescent="0.6">
      <c r="A38" s="6">
        <v>30</v>
      </c>
      <c r="B38" s="11" t="s">
        <v>111</v>
      </c>
      <c r="C38" s="6" t="s">
        <v>33</v>
      </c>
      <c r="D38" s="6" t="s">
        <v>107</v>
      </c>
      <c r="E38" s="6">
        <v>8</v>
      </c>
      <c r="F38" s="6">
        <v>0.03</v>
      </c>
      <c r="G38" s="6">
        <v>0.3</v>
      </c>
      <c r="H38" s="6">
        <v>0.1</v>
      </c>
      <c r="I38" s="6">
        <f>N38*O38</f>
        <v>512</v>
      </c>
      <c r="J38" s="6">
        <f>G38/F38</f>
        <v>10</v>
      </c>
      <c r="K38" s="19">
        <v>131072</v>
      </c>
      <c r="L38" s="6">
        <v>4</v>
      </c>
      <c r="M38" s="6">
        <v>8</v>
      </c>
      <c r="N38" s="6">
        <v>8</v>
      </c>
      <c r="O38" s="6">
        <v>64</v>
      </c>
      <c r="P38" s="28"/>
      <c r="Q38" s="28" t="s">
        <v>92</v>
      </c>
      <c r="R38" s="93">
        <v>0.18355199999999999</v>
      </c>
      <c r="S38" s="93">
        <v>1.1012850000000001</v>
      </c>
      <c r="T38" s="6">
        <v>18</v>
      </c>
      <c r="U38" s="6">
        <v>124624</v>
      </c>
      <c r="V38" s="6">
        <v>171033</v>
      </c>
      <c r="W38" s="6">
        <v>61843</v>
      </c>
      <c r="X38" s="6" t="s">
        <v>42</v>
      </c>
      <c r="Y38" s="6" t="s">
        <v>43</v>
      </c>
      <c r="Z38" s="6">
        <v>107.53</v>
      </c>
      <c r="AA38" s="6">
        <v>46.79</v>
      </c>
      <c r="AB38" s="6">
        <v>4045.27</v>
      </c>
      <c r="AC38" s="6">
        <v>4239.91</v>
      </c>
      <c r="AD38" s="6" t="s">
        <v>47</v>
      </c>
      <c r="AE38" s="74" t="s">
        <v>112</v>
      </c>
    </row>
    <row r="39" spans="1:31" s="39" customFormat="1" x14ac:dyDescent="0.6">
      <c r="A39" s="6">
        <v>31</v>
      </c>
      <c r="B39" s="11" t="s">
        <v>113</v>
      </c>
      <c r="C39" s="6" t="s">
        <v>33</v>
      </c>
      <c r="D39" s="6" t="s">
        <v>107</v>
      </c>
      <c r="E39" s="6">
        <v>8</v>
      </c>
      <c r="F39" s="6">
        <v>0.03</v>
      </c>
      <c r="G39" s="6">
        <v>0.3</v>
      </c>
      <c r="H39" s="6">
        <v>0.1</v>
      </c>
      <c r="I39" s="6">
        <f>N39*O39</f>
        <v>512</v>
      </c>
      <c r="J39" s="6">
        <f>G39/F39</f>
        <v>10</v>
      </c>
      <c r="K39" s="19">
        <v>131072</v>
      </c>
      <c r="L39" s="6">
        <v>4</v>
      </c>
      <c r="M39" s="6">
        <v>8</v>
      </c>
      <c r="N39" s="6">
        <v>16</v>
      </c>
      <c r="O39" s="6">
        <v>32</v>
      </c>
      <c r="P39" s="28"/>
      <c r="Q39" s="28" t="s">
        <v>92</v>
      </c>
      <c r="R39" s="93">
        <v>7.4400999999999995E-2</v>
      </c>
      <c r="S39" s="93">
        <v>0.44639699999999999</v>
      </c>
      <c r="T39" s="6">
        <v>26</v>
      </c>
      <c r="U39" s="6">
        <v>248712</v>
      </c>
      <c r="V39" s="6">
        <v>341057</v>
      </c>
      <c r="W39" s="6">
        <v>123555</v>
      </c>
      <c r="X39" s="6" t="s">
        <v>42</v>
      </c>
      <c r="Y39" s="6" t="s">
        <v>43</v>
      </c>
      <c r="Z39" s="6">
        <v>70.45</v>
      </c>
      <c r="AA39" s="6">
        <v>38.729999999999997</v>
      </c>
      <c r="AB39" s="6">
        <v>92685.09</v>
      </c>
      <c r="AC39" s="6">
        <v>92827.3</v>
      </c>
      <c r="AD39" s="6" t="s">
        <v>47</v>
      </c>
      <c r="AE39" s="74" t="s">
        <v>114</v>
      </c>
    </row>
    <row r="40" spans="1:31" s="7" customFormat="1" ht="17.05" customHeight="1" x14ac:dyDescent="0.6">
      <c r="B40" s="40" t="s">
        <v>115</v>
      </c>
      <c r="K40" s="42"/>
      <c r="P40" s="41"/>
      <c r="Q40" s="41"/>
      <c r="R40" s="94"/>
      <c r="S40" s="94"/>
      <c r="AE40" s="75"/>
    </row>
    <row r="41" spans="1:31" s="7" customFormat="1" ht="17.05" customHeight="1" x14ac:dyDescent="0.6">
      <c r="A41" s="7">
        <v>32</v>
      </c>
      <c r="B41" s="12" t="s">
        <v>116</v>
      </c>
      <c r="C41" s="7" t="s">
        <v>33</v>
      </c>
      <c r="D41" s="7" t="s">
        <v>107</v>
      </c>
      <c r="E41" s="7">
        <v>8</v>
      </c>
      <c r="F41" s="7">
        <v>0.03</v>
      </c>
      <c r="G41" s="7">
        <v>0.3</v>
      </c>
      <c r="H41" s="7">
        <v>0.1</v>
      </c>
      <c r="I41" s="7">
        <f>N41*O41</f>
        <v>512</v>
      </c>
      <c r="J41" s="7">
        <f>G41/F41</f>
        <v>10</v>
      </c>
      <c r="K41" s="20">
        <v>16384</v>
      </c>
      <c r="L41" s="7">
        <v>4</v>
      </c>
      <c r="M41" s="7">
        <v>8</v>
      </c>
      <c r="N41" s="7">
        <v>8</v>
      </c>
      <c r="O41" s="7">
        <v>64</v>
      </c>
      <c r="P41" s="29"/>
      <c r="Q41" s="29" t="s">
        <v>92</v>
      </c>
      <c r="R41" s="95">
        <v>60.881906999999998</v>
      </c>
      <c r="S41" s="95">
        <v>365.28289699999999</v>
      </c>
      <c r="T41" s="7">
        <v>18</v>
      </c>
      <c r="U41" s="7">
        <v>124624</v>
      </c>
      <c r="V41" s="7">
        <v>171033</v>
      </c>
      <c r="W41" s="7">
        <v>61843</v>
      </c>
      <c r="X41" s="7" t="s">
        <v>42</v>
      </c>
      <c r="Y41" s="7" t="s">
        <v>43</v>
      </c>
      <c r="Z41" s="7">
        <v>298.57</v>
      </c>
      <c r="AA41" s="7">
        <v>118.76</v>
      </c>
      <c r="AB41" s="7">
        <v>12746.61</v>
      </c>
      <c r="AC41" s="7">
        <v>13247.65</v>
      </c>
      <c r="AD41" s="7" t="s">
        <v>47</v>
      </c>
      <c r="AE41" s="76" t="s">
        <v>117</v>
      </c>
    </row>
    <row r="42" spans="1:31" s="7" customFormat="1" ht="17.05" customHeight="1" x14ac:dyDescent="0.6">
      <c r="A42" s="7">
        <v>33</v>
      </c>
      <c r="B42" s="12" t="s">
        <v>118</v>
      </c>
      <c r="C42" s="7" t="s">
        <v>33</v>
      </c>
      <c r="D42" s="7" t="s">
        <v>107</v>
      </c>
      <c r="E42" s="7">
        <v>8</v>
      </c>
      <c r="F42" s="7">
        <v>0.03</v>
      </c>
      <c r="G42" s="7">
        <v>0.3</v>
      </c>
      <c r="H42" s="7">
        <v>0.1</v>
      </c>
      <c r="I42" s="7">
        <f>N42*O42</f>
        <v>512</v>
      </c>
      <c r="J42" s="7">
        <f>G42/F42</f>
        <v>10</v>
      </c>
      <c r="K42" s="20">
        <v>65536</v>
      </c>
      <c r="L42" s="7">
        <v>4</v>
      </c>
      <c r="M42" s="7">
        <v>8</v>
      </c>
      <c r="N42" s="7">
        <v>8</v>
      </c>
      <c r="O42" s="7">
        <v>64</v>
      </c>
      <c r="P42" s="29"/>
      <c r="Q42" s="29" t="s">
        <v>92</v>
      </c>
      <c r="R42" s="95">
        <v>0.199902</v>
      </c>
      <c r="S42" s="95">
        <v>1.1993819999999999</v>
      </c>
      <c r="T42" s="7">
        <v>18</v>
      </c>
      <c r="U42" s="7">
        <v>124624</v>
      </c>
      <c r="V42" s="7">
        <v>171033</v>
      </c>
      <c r="W42" s="7">
        <v>61843</v>
      </c>
      <c r="X42" s="7" t="s">
        <v>42</v>
      </c>
      <c r="Y42" s="7" t="s">
        <v>43</v>
      </c>
      <c r="Z42" s="7">
        <v>243.68</v>
      </c>
      <c r="AA42" s="7">
        <v>96.16</v>
      </c>
      <c r="AB42" s="7">
        <v>12833.56</v>
      </c>
      <c r="AC42" s="7">
        <v>13257.85</v>
      </c>
      <c r="AD42" s="7" t="s">
        <v>47</v>
      </c>
      <c r="AE42" s="76" t="s">
        <v>119</v>
      </c>
    </row>
    <row r="43" spans="1:31" s="7" customFormat="1" ht="17.05" customHeight="1" x14ac:dyDescent="0.6">
      <c r="A43" s="7">
        <v>34</v>
      </c>
      <c r="B43" s="12" t="s">
        <v>120</v>
      </c>
      <c r="C43" s="7" t="s">
        <v>33</v>
      </c>
      <c r="D43" s="7" t="s">
        <v>107</v>
      </c>
      <c r="E43" s="7">
        <v>8</v>
      </c>
      <c r="F43" s="7">
        <v>0.03</v>
      </c>
      <c r="G43" s="7">
        <v>0.3</v>
      </c>
      <c r="H43" s="7">
        <v>0.1</v>
      </c>
      <c r="I43" s="7">
        <f>N43*O43</f>
        <v>512</v>
      </c>
      <c r="J43" s="7">
        <f>G43/F43</f>
        <v>10</v>
      </c>
      <c r="K43" s="20">
        <v>131072</v>
      </c>
      <c r="L43" s="7">
        <v>4</v>
      </c>
      <c r="M43" s="7">
        <v>8</v>
      </c>
      <c r="N43" s="7">
        <v>8</v>
      </c>
      <c r="O43" s="7">
        <v>64</v>
      </c>
      <c r="P43" s="29"/>
      <c r="Q43" s="29" t="s">
        <v>92</v>
      </c>
      <c r="R43" s="95">
        <v>0.18355199999999999</v>
      </c>
      <c r="S43" s="95">
        <v>1.1012850000000001</v>
      </c>
      <c r="T43" s="7">
        <v>18</v>
      </c>
      <c r="U43" s="7">
        <v>124624</v>
      </c>
      <c r="V43" s="7">
        <v>171033</v>
      </c>
      <c r="W43" s="7">
        <v>61843</v>
      </c>
      <c r="X43" s="7" t="s">
        <v>42</v>
      </c>
      <c r="Y43" s="7" t="s">
        <v>43</v>
      </c>
      <c r="Z43" s="7">
        <v>285.98</v>
      </c>
      <c r="AA43" s="7">
        <v>119.43</v>
      </c>
      <c r="AB43" s="7">
        <v>12762.77</v>
      </c>
      <c r="AC43" s="7">
        <v>13257.83</v>
      </c>
      <c r="AD43" s="7" t="s">
        <v>47</v>
      </c>
      <c r="AE43" s="76" t="s">
        <v>121</v>
      </c>
    </row>
    <row r="44" spans="1:31" s="7" customFormat="1" ht="17.05" customHeight="1" x14ac:dyDescent="0.6">
      <c r="A44" s="7">
        <v>35</v>
      </c>
      <c r="B44" s="12" t="s">
        <v>122</v>
      </c>
      <c r="C44" s="7" t="s">
        <v>33</v>
      </c>
      <c r="D44" s="7" t="s">
        <v>107</v>
      </c>
      <c r="E44" s="7">
        <v>8</v>
      </c>
      <c r="F44" s="7">
        <v>0.03</v>
      </c>
      <c r="G44" s="7">
        <v>0.3</v>
      </c>
      <c r="H44" s="7">
        <v>0.1</v>
      </c>
      <c r="I44" s="7">
        <f>N44*O44</f>
        <v>512</v>
      </c>
      <c r="J44" s="7">
        <f>G44/F44</f>
        <v>10</v>
      </c>
      <c r="K44" s="20">
        <v>524288</v>
      </c>
      <c r="L44" s="7">
        <v>4</v>
      </c>
      <c r="M44" s="7">
        <v>8</v>
      </c>
      <c r="N44" s="7">
        <v>8</v>
      </c>
      <c r="O44" s="7">
        <v>64</v>
      </c>
      <c r="P44" s="29"/>
      <c r="Q44" s="29" t="s">
        <v>92</v>
      </c>
      <c r="R44" s="95">
        <v>8.6906999999999998E-2</v>
      </c>
      <c r="S44" s="95">
        <v>0.52142999999999995</v>
      </c>
      <c r="T44" s="7">
        <v>18</v>
      </c>
      <c r="U44" s="7">
        <v>124624</v>
      </c>
      <c r="V44" s="7">
        <v>171033</v>
      </c>
      <c r="W44" s="7">
        <v>61843</v>
      </c>
      <c r="X44" s="7" t="s">
        <v>42</v>
      </c>
      <c r="Y44" s="7" t="s">
        <v>43</v>
      </c>
      <c r="Z44" s="7">
        <v>358.19</v>
      </c>
      <c r="AA44" s="7">
        <v>145.19999999999999</v>
      </c>
      <c r="AB44" s="7">
        <v>12616.34</v>
      </c>
      <c r="AC44" s="7">
        <v>13218.02</v>
      </c>
      <c r="AD44" s="7" t="s">
        <v>47</v>
      </c>
      <c r="AE44" s="76" t="s">
        <v>123</v>
      </c>
    </row>
    <row r="45" spans="1:31" x14ac:dyDescent="0.6">
      <c r="A45" s="7">
        <v>36</v>
      </c>
      <c r="B45" s="12" t="s">
        <v>124</v>
      </c>
      <c r="C45" s="7" t="s">
        <v>33</v>
      </c>
      <c r="D45" s="7" t="s">
        <v>107</v>
      </c>
      <c r="E45" s="7">
        <v>8</v>
      </c>
      <c r="F45" s="7">
        <v>0.03</v>
      </c>
      <c r="G45" s="7">
        <v>0.3</v>
      </c>
      <c r="H45" s="7">
        <v>0.1</v>
      </c>
      <c r="I45" s="7">
        <f>N45*O45</f>
        <v>512</v>
      </c>
      <c r="J45" s="7">
        <f>G45/F45</f>
        <v>10</v>
      </c>
      <c r="K45" s="20">
        <v>1048576</v>
      </c>
      <c r="L45" s="7">
        <v>4</v>
      </c>
      <c r="M45" s="7">
        <v>8</v>
      </c>
      <c r="N45" s="7">
        <v>8</v>
      </c>
      <c r="O45" s="7">
        <v>64</v>
      </c>
      <c r="P45" s="29"/>
      <c r="Q45" s="29" t="s">
        <v>92</v>
      </c>
      <c r="R45" s="95">
        <v>4.7698999999999998E-2</v>
      </c>
      <c r="S45" s="95">
        <v>0.286186</v>
      </c>
      <c r="T45" s="7">
        <v>18</v>
      </c>
      <c r="U45" s="7">
        <v>124624</v>
      </c>
      <c r="V45" s="7">
        <v>171033</v>
      </c>
      <c r="W45" s="7">
        <v>61843</v>
      </c>
      <c r="X45" s="7" t="s">
        <v>42</v>
      </c>
      <c r="Y45" s="7" t="s">
        <v>43</v>
      </c>
      <c r="Z45" s="7">
        <v>274.97000000000003</v>
      </c>
      <c r="AA45" s="7">
        <v>118.92</v>
      </c>
      <c r="AB45" s="7">
        <v>12772.73</v>
      </c>
      <c r="AC45" s="7">
        <v>13259.02</v>
      </c>
      <c r="AD45" s="7" t="s">
        <v>47</v>
      </c>
      <c r="AE45" s="76" t="s">
        <v>125</v>
      </c>
    </row>
    <row r="46" spans="1:31" s="6" customFormat="1" x14ac:dyDescent="0.6">
      <c r="B46" s="36" t="s">
        <v>126</v>
      </c>
      <c r="K46" s="38"/>
      <c r="P46" s="37"/>
      <c r="Q46" s="37"/>
      <c r="R46" s="91"/>
      <c r="S46" s="92"/>
      <c r="T46" s="101"/>
      <c r="U46" s="101"/>
      <c r="V46" s="101"/>
      <c r="W46" s="101"/>
      <c r="Y46" s="74"/>
      <c r="AE46" s="73"/>
    </row>
    <row r="47" spans="1:31" s="6" customFormat="1" x14ac:dyDescent="0.6">
      <c r="A47" s="6">
        <v>37</v>
      </c>
      <c r="B47" s="11" t="s">
        <v>127</v>
      </c>
      <c r="C47" s="6" t="s">
        <v>33</v>
      </c>
      <c r="D47" s="6" t="s">
        <v>107</v>
      </c>
      <c r="E47" s="6">
        <v>8</v>
      </c>
      <c r="F47" s="6">
        <v>0.03</v>
      </c>
      <c r="G47" s="6">
        <v>0.3</v>
      </c>
      <c r="H47" s="6">
        <v>0.1</v>
      </c>
      <c r="I47" s="6">
        <f t="shared" ref="I47:I55" si="8">N47*O47</f>
        <v>512</v>
      </c>
      <c r="J47" s="6">
        <f t="shared" ref="J47:J55" si="9">G47/F47</f>
        <v>10</v>
      </c>
      <c r="K47" s="19">
        <v>131072</v>
      </c>
      <c r="L47" s="6">
        <v>4</v>
      </c>
      <c r="M47" s="6">
        <v>8</v>
      </c>
      <c r="N47" s="6">
        <v>2</v>
      </c>
      <c r="O47" s="6">
        <v>256</v>
      </c>
      <c r="P47" s="28"/>
      <c r="Q47" s="28"/>
      <c r="R47" s="93">
        <v>133.57000600000001</v>
      </c>
      <c r="S47" s="93">
        <v>801.40128300000003</v>
      </c>
      <c r="T47" s="6">
        <v>11</v>
      </c>
      <c r="U47" s="6">
        <v>15980</v>
      </c>
      <c r="V47" s="6">
        <v>22193</v>
      </c>
      <c r="W47" s="6">
        <v>7845</v>
      </c>
      <c r="X47" s="6" t="s">
        <v>42</v>
      </c>
      <c r="Y47" s="6" t="s">
        <v>43</v>
      </c>
      <c r="Z47" s="6">
        <v>24.9</v>
      </c>
      <c r="AA47" s="6">
        <v>23.09</v>
      </c>
      <c r="AB47" s="6">
        <v>69.22</v>
      </c>
      <c r="AC47" s="6">
        <v>254.12</v>
      </c>
      <c r="AE47" s="74" t="s">
        <v>128</v>
      </c>
    </row>
    <row r="48" spans="1:31" s="6" customFormat="1" x14ac:dyDescent="0.6">
      <c r="A48" s="6">
        <v>38</v>
      </c>
      <c r="B48" s="11" t="s">
        <v>129</v>
      </c>
      <c r="C48" s="6" t="s">
        <v>33</v>
      </c>
      <c r="D48" s="6" t="s">
        <v>107</v>
      </c>
      <c r="E48" s="6">
        <v>8</v>
      </c>
      <c r="F48" s="6">
        <v>0.03</v>
      </c>
      <c r="G48" s="6">
        <v>0.3</v>
      </c>
      <c r="H48" s="6">
        <v>0.1</v>
      </c>
      <c r="I48" s="6">
        <f t="shared" si="8"/>
        <v>512</v>
      </c>
      <c r="J48" s="6">
        <f t="shared" si="9"/>
        <v>10</v>
      </c>
      <c r="K48" s="19">
        <v>131072</v>
      </c>
      <c r="L48" s="6">
        <v>4</v>
      </c>
      <c r="M48" s="6">
        <v>8</v>
      </c>
      <c r="N48" s="6">
        <v>4</v>
      </c>
      <c r="O48" s="6">
        <v>128</v>
      </c>
      <c r="P48" s="28"/>
      <c r="Q48" s="28"/>
      <c r="R48" s="93">
        <v>82.246827999999994</v>
      </c>
      <c r="S48" s="93">
        <v>493.469424</v>
      </c>
      <c r="T48" s="6">
        <v>11</v>
      </c>
      <c r="U48" s="6">
        <v>15913</v>
      </c>
      <c r="V48" s="6">
        <v>22122</v>
      </c>
      <c r="W48" s="6">
        <v>7845</v>
      </c>
      <c r="X48" s="6" t="s">
        <v>42</v>
      </c>
      <c r="Y48" s="6" t="s">
        <v>43</v>
      </c>
      <c r="Z48" s="6">
        <v>23.33</v>
      </c>
      <c r="AA48" s="6">
        <v>26.43</v>
      </c>
      <c r="AB48" s="6">
        <v>73.23</v>
      </c>
      <c r="AC48" s="6">
        <v>134.56</v>
      </c>
      <c r="AD48" s="6" t="s">
        <v>47</v>
      </c>
      <c r="AE48" s="74" t="s">
        <v>130</v>
      </c>
    </row>
    <row r="49" spans="1:31" s="6" customFormat="1" x14ac:dyDescent="0.6">
      <c r="A49" s="6">
        <v>39</v>
      </c>
      <c r="B49" s="11" t="s">
        <v>131</v>
      </c>
      <c r="C49" s="6" t="s">
        <v>33</v>
      </c>
      <c r="D49" s="6" t="s">
        <v>107</v>
      </c>
      <c r="E49" s="6">
        <v>8</v>
      </c>
      <c r="F49" s="6">
        <v>0.03</v>
      </c>
      <c r="G49" s="6">
        <v>0.3</v>
      </c>
      <c r="H49" s="6">
        <v>0.1</v>
      </c>
      <c r="I49" s="6">
        <f t="shared" si="8"/>
        <v>512</v>
      </c>
      <c r="J49" s="6">
        <f t="shared" si="9"/>
        <v>10</v>
      </c>
      <c r="K49" s="19">
        <v>131072</v>
      </c>
      <c r="L49" s="6">
        <v>4</v>
      </c>
      <c r="M49" s="6">
        <v>8</v>
      </c>
      <c r="N49" s="6">
        <v>8</v>
      </c>
      <c r="O49" s="6">
        <v>64</v>
      </c>
      <c r="P49" s="28"/>
      <c r="Q49" s="28"/>
      <c r="R49" s="93">
        <v>0.18355199999999999</v>
      </c>
      <c r="S49" s="93">
        <v>1.1012850000000001</v>
      </c>
      <c r="T49" s="6">
        <v>11</v>
      </c>
      <c r="U49" s="6">
        <v>15872</v>
      </c>
      <c r="V49" s="6">
        <v>22080</v>
      </c>
      <c r="W49" s="6">
        <v>7845</v>
      </c>
      <c r="X49" s="6" t="s">
        <v>42</v>
      </c>
      <c r="Y49" s="6" t="s">
        <v>43</v>
      </c>
      <c r="Z49" s="6">
        <v>12.54</v>
      </c>
      <c r="AA49" s="6">
        <v>13.46</v>
      </c>
      <c r="AB49" s="6">
        <v>41.26</v>
      </c>
      <c r="AC49" s="6">
        <v>76.150000000000006</v>
      </c>
      <c r="AD49" s="6" t="s">
        <v>47</v>
      </c>
      <c r="AE49" s="74" t="s">
        <v>132</v>
      </c>
    </row>
    <row r="50" spans="1:31" s="6" customFormat="1" x14ac:dyDescent="0.6">
      <c r="A50" s="6">
        <v>40</v>
      </c>
      <c r="B50" s="11" t="s">
        <v>133</v>
      </c>
      <c r="C50" s="6" t="s">
        <v>33</v>
      </c>
      <c r="D50" s="6" t="s">
        <v>107</v>
      </c>
      <c r="E50" s="6">
        <v>8</v>
      </c>
      <c r="F50" s="6">
        <v>0.03</v>
      </c>
      <c r="G50" s="6">
        <v>0.3</v>
      </c>
      <c r="H50" s="6">
        <v>0.1</v>
      </c>
      <c r="I50" s="6">
        <f t="shared" si="8"/>
        <v>512</v>
      </c>
      <c r="J50" s="6">
        <f t="shared" si="9"/>
        <v>10</v>
      </c>
      <c r="K50" s="19">
        <v>131072</v>
      </c>
      <c r="L50" s="6">
        <v>4</v>
      </c>
      <c r="M50" s="6">
        <v>8</v>
      </c>
      <c r="N50" s="6">
        <v>16</v>
      </c>
      <c r="O50" s="6">
        <v>32</v>
      </c>
      <c r="P50" s="28"/>
      <c r="Q50" s="28"/>
      <c r="R50" s="93">
        <v>7.4400999999999995E-2</v>
      </c>
      <c r="S50" s="93">
        <v>0.44639699999999999</v>
      </c>
      <c r="T50" s="6">
        <v>11</v>
      </c>
      <c r="U50" s="6">
        <v>15837</v>
      </c>
      <c r="V50" s="6">
        <v>22044</v>
      </c>
      <c r="W50" s="6">
        <v>7845</v>
      </c>
      <c r="X50" s="6" t="s">
        <v>42</v>
      </c>
      <c r="Y50" s="6" t="s">
        <v>43</v>
      </c>
      <c r="Z50" s="6">
        <v>6.89</v>
      </c>
      <c r="AA50" s="6">
        <v>7.56</v>
      </c>
      <c r="AB50" s="6">
        <v>24.17</v>
      </c>
      <c r="AC50" s="6">
        <v>44.44</v>
      </c>
      <c r="AD50" s="6" t="s">
        <v>47</v>
      </c>
      <c r="AE50" s="74" t="s">
        <v>134</v>
      </c>
    </row>
    <row r="51" spans="1:31" s="6" customFormat="1" x14ac:dyDescent="0.6">
      <c r="A51" s="6">
        <v>41</v>
      </c>
      <c r="B51" s="11" t="s">
        <v>135</v>
      </c>
      <c r="C51" s="6" t="s">
        <v>33</v>
      </c>
      <c r="D51" s="6" t="s">
        <v>107</v>
      </c>
      <c r="E51" s="6">
        <v>8</v>
      </c>
      <c r="F51" s="6">
        <v>0.03</v>
      </c>
      <c r="G51" s="6">
        <v>0.3</v>
      </c>
      <c r="H51" s="6">
        <v>0.1</v>
      </c>
      <c r="I51" s="6">
        <f t="shared" si="8"/>
        <v>512</v>
      </c>
      <c r="J51" s="6">
        <f t="shared" si="9"/>
        <v>10</v>
      </c>
      <c r="K51" s="19">
        <v>131072</v>
      </c>
      <c r="L51" s="6">
        <v>4</v>
      </c>
      <c r="M51" s="6">
        <v>8</v>
      </c>
      <c r="N51" s="6">
        <v>32</v>
      </c>
      <c r="O51" s="6">
        <v>16</v>
      </c>
      <c r="P51" s="28"/>
      <c r="Q51" s="28"/>
      <c r="R51" s="93">
        <v>4.138E-2</v>
      </c>
      <c r="S51" s="93">
        <v>0.24827299999999999</v>
      </c>
      <c r="T51" s="6">
        <v>11</v>
      </c>
      <c r="U51" s="6">
        <v>15837</v>
      </c>
      <c r="V51" s="6">
        <v>22044</v>
      </c>
      <c r="W51" s="6">
        <v>7845</v>
      </c>
      <c r="X51" s="6" t="s">
        <v>42</v>
      </c>
      <c r="Y51" s="6" t="s">
        <v>43</v>
      </c>
      <c r="Z51" s="6">
        <v>3.95</v>
      </c>
      <c r="AA51" s="6">
        <v>4.18</v>
      </c>
      <c r="AB51" s="6">
        <v>13.5</v>
      </c>
      <c r="AC51" s="6">
        <v>26.66</v>
      </c>
      <c r="AD51" s="6" t="s">
        <v>47</v>
      </c>
      <c r="AE51" s="74" t="s">
        <v>136</v>
      </c>
    </row>
    <row r="52" spans="1:31" s="6" customFormat="1" x14ac:dyDescent="0.6">
      <c r="A52" s="6">
        <v>42</v>
      </c>
      <c r="B52" s="11" t="s">
        <v>137</v>
      </c>
      <c r="C52" s="6" t="s">
        <v>33</v>
      </c>
      <c r="D52" s="6" t="s">
        <v>107</v>
      </c>
      <c r="E52" s="6">
        <v>8</v>
      </c>
      <c r="F52" s="6">
        <v>0.03</v>
      </c>
      <c r="G52" s="6">
        <v>0.3</v>
      </c>
      <c r="H52" s="6">
        <v>0.1</v>
      </c>
      <c r="I52" s="6">
        <f t="shared" si="8"/>
        <v>512</v>
      </c>
      <c r="J52" s="6">
        <f t="shared" si="9"/>
        <v>10</v>
      </c>
      <c r="K52" s="19">
        <v>131072</v>
      </c>
      <c r="L52" s="6">
        <v>4</v>
      </c>
      <c r="M52" s="6">
        <v>8</v>
      </c>
      <c r="N52" s="6">
        <v>64</v>
      </c>
      <c r="O52" s="6">
        <v>8</v>
      </c>
      <c r="P52" s="28"/>
      <c r="Q52" s="28"/>
      <c r="R52" s="93">
        <v>2.6450999999999999E-2</v>
      </c>
      <c r="S52" s="93">
        <v>0.15870000000000001</v>
      </c>
      <c r="T52" s="6">
        <v>11</v>
      </c>
      <c r="U52" s="6">
        <v>15837</v>
      </c>
      <c r="V52" s="6">
        <v>22044</v>
      </c>
      <c r="W52" s="6">
        <v>7845</v>
      </c>
      <c r="X52" s="6" t="s">
        <v>42</v>
      </c>
      <c r="Y52" s="6" t="s">
        <v>43</v>
      </c>
      <c r="Z52" s="6">
        <v>2.0299999999999998</v>
      </c>
      <c r="AA52" s="6">
        <v>2.4</v>
      </c>
      <c r="AB52" s="6">
        <v>7.56</v>
      </c>
      <c r="AC52" s="6">
        <v>16.38</v>
      </c>
      <c r="AD52" s="6" t="s">
        <v>47</v>
      </c>
      <c r="AE52" s="74" t="s">
        <v>138</v>
      </c>
    </row>
    <row r="53" spans="1:31" s="6" customFormat="1" x14ac:dyDescent="0.6">
      <c r="A53" s="6">
        <v>43</v>
      </c>
      <c r="B53" s="11" t="s">
        <v>139</v>
      </c>
      <c r="C53" s="6" t="s">
        <v>33</v>
      </c>
      <c r="D53" s="6" t="s">
        <v>107</v>
      </c>
      <c r="E53" s="6">
        <v>8</v>
      </c>
      <c r="F53" s="6">
        <v>0.03</v>
      </c>
      <c r="G53" s="6">
        <v>0.3</v>
      </c>
      <c r="H53" s="6">
        <v>0.1</v>
      </c>
      <c r="I53" s="6">
        <f t="shared" si="8"/>
        <v>512</v>
      </c>
      <c r="J53" s="6">
        <f t="shared" si="9"/>
        <v>10</v>
      </c>
      <c r="K53" s="19">
        <v>131072</v>
      </c>
      <c r="L53" s="6">
        <v>4</v>
      </c>
      <c r="M53" s="6">
        <v>8</v>
      </c>
      <c r="N53" s="6">
        <v>128</v>
      </c>
      <c r="O53" s="6">
        <v>4</v>
      </c>
      <c r="P53" s="28"/>
      <c r="Q53" s="28"/>
      <c r="R53" s="93">
        <v>1.7378999999999999E-2</v>
      </c>
      <c r="S53" s="93">
        <v>0.10427</v>
      </c>
      <c r="T53" s="6">
        <v>11</v>
      </c>
      <c r="U53" s="6">
        <v>15837</v>
      </c>
      <c r="V53" s="6">
        <v>22044</v>
      </c>
      <c r="W53" s="6">
        <v>7845</v>
      </c>
      <c r="X53" s="6" t="s">
        <v>42</v>
      </c>
      <c r="Y53" s="6" t="s">
        <v>43</v>
      </c>
      <c r="Z53" s="6">
        <v>1.33</v>
      </c>
      <c r="AA53" s="6">
        <v>1.3</v>
      </c>
      <c r="AB53" s="6">
        <v>4.16</v>
      </c>
      <c r="AC53" s="6">
        <v>10.62</v>
      </c>
      <c r="AD53" s="6" t="s">
        <v>47</v>
      </c>
      <c r="AE53" s="74" t="s">
        <v>140</v>
      </c>
    </row>
    <row r="54" spans="1:31" s="6" customFormat="1" x14ac:dyDescent="0.6">
      <c r="A54" s="6">
        <v>44</v>
      </c>
      <c r="B54" s="11" t="s">
        <v>141</v>
      </c>
      <c r="C54" s="6" t="s">
        <v>33</v>
      </c>
      <c r="D54" s="6" t="s">
        <v>107</v>
      </c>
      <c r="E54" s="6">
        <v>8</v>
      </c>
      <c r="F54" s="6">
        <v>0.03</v>
      </c>
      <c r="G54" s="6">
        <v>0.3</v>
      </c>
      <c r="H54" s="6">
        <v>0.1</v>
      </c>
      <c r="I54" s="6">
        <f t="shared" si="8"/>
        <v>512</v>
      </c>
      <c r="J54" s="6">
        <f t="shared" si="9"/>
        <v>10</v>
      </c>
      <c r="K54" s="19">
        <v>131072</v>
      </c>
      <c r="L54" s="6">
        <v>4</v>
      </c>
      <c r="M54" s="6">
        <v>8</v>
      </c>
      <c r="N54" s="6">
        <v>256</v>
      </c>
      <c r="O54" s="6">
        <v>2</v>
      </c>
      <c r="P54" s="28"/>
      <c r="Q54" s="28"/>
      <c r="R54" s="93">
        <v>1.5134999999999999E-2</v>
      </c>
      <c r="S54" s="93">
        <v>9.0810000000000002E-2</v>
      </c>
      <c r="T54" s="6">
        <v>11</v>
      </c>
      <c r="U54" s="6">
        <v>15837</v>
      </c>
      <c r="V54" s="6">
        <v>22044</v>
      </c>
      <c r="W54" s="6">
        <v>7845</v>
      </c>
      <c r="X54" s="6" t="s">
        <v>42</v>
      </c>
      <c r="Y54" s="6" t="s">
        <v>43</v>
      </c>
      <c r="Z54" s="6">
        <v>0.63</v>
      </c>
      <c r="AA54" s="6">
        <v>0.77</v>
      </c>
      <c r="AB54" s="6">
        <v>2.4300000000000002</v>
      </c>
      <c r="AC54" s="6">
        <v>7.59</v>
      </c>
      <c r="AD54" s="6" t="s">
        <v>47</v>
      </c>
      <c r="AE54" s="74" t="s">
        <v>142</v>
      </c>
    </row>
    <row r="55" spans="1:31" s="6" customFormat="1" x14ac:dyDescent="0.6">
      <c r="A55" s="6">
        <v>45</v>
      </c>
      <c r="B55" s="11" t="s">
        <v>143</v>
      </c>
      <c r="C55" s="6" t="s">
        <v>33</v>
      </c>
      <c r="D55" s="6" t="s">
        <v>107</v>
      </c>
      <c r="E55" s="6">
        <v>8</v>
      </c>
      <c r="F55" s="6">
        <v>0.03</v>
      </c>
      <c r="G55" s="6">
        <v>0.3</v>
      </c>
      <c r="H55" s="6">
        <v>0.1</v>
      </c>
      <c r="I55" s="6">
        <f t="shared" si="8"/>
        <v>512</v>
      </c>
      <c r="J55" s="6">
        <f t="shared" si="9"/>
        <v>10</v>
      </c>
      <c r="K55" s="19">
        <v>131072</v>
      </c>
      <c r="L55" s="6">
        <v>4</v>
      </c>
      <c r="M55" s="6">
        <v>8</v>
      </c>
      <c r="N55" s="6">
        <v>512</v>
      </c>
      <c r="O55" s="6">
        <v>1</v>
      </c>
      <c r="P55" s="28"/>
      <c r="Q55" s="28"/>
      <c r="R55" s="93">
        <v>1.0512000000000001E-2</v>
      </c>
      <c r="S55" s="93">
        <v>6.3073000000000004E-2</v>
      </c>
      <c r="T55" s="6">
        <v>11</v>
      </c>
      <c r="U55" s="6">
        <v>15837</v>
      </c>
      <c r="V55" s="6">
        <v>22044</v>
      </c>
      <c r="W55" s="6">
        <v>7845</v>
      </c>
      <c r="X55" s="6" t="s">
        <v>42</v>
      </c>
      <c r="Y55" s="6" t="s">
        <v>43</v>
      </c>
      <c r="Z55" s="6">
        <v>0.25</v>
      </c>
      <c r="AA55" s="6">
        <v>0.42</v>
      </c>
      <c r="AB55" s="6">
        <v>1.1499999999999999</v>
      </c>
      <c r="AC55" s="6">
        <v>5.41</v>
      </c>
      <c r="AD55" s="6" t="s">
        <v>47</v>
      </c>
      <c r="AE55" s="74" t="s">
        <v>144</v>
      </c>
    </row>
    <row r="56" spans="1:31" s="1" customFormat="1" x14ac:dyDescent="0.6">
      <c r="B56" s="104" t="s">
        <v>234</v>
      </c>
      <c r="K56" s="14"/>
      <c r="P56" s="23"/>
      <c r="Q56" s="23"/>
      <c r="R56" s="81"/>
      <c r="S56" s="102"/>
      <c r="T56" s="103"/>
      <c r="U56" s="103"/>
      <c r="V56" s="103"/>
      <c r="W56" s="103"/>
      <c r="Y56" s="64"/>
    </row>
    <row r="57" spans="1:31" s="1" customFormat="1" x14ac:dyDescent="0.6">
      <c r="A57" s="1">
        <v>46</v>
      </c>
      <c r="B57" s="1" t="s">
        <v>32</v>
      </c>
      <c r="C57" s="1" t="s">
        <v>33</v>
      </c>
      <c r="D57" s="1" t="s">
        <v>145</v>
      </c>
      <c r="E57" s="1">
        <v>4</v>
      </c>
      <c r="F57" s="1">
        <v>0.03</v>
      </c>
      <c r="G57" s="1">
        <v>0.3</v>
      </c>
      <c r="H57" s="1">
        <v>0.1</v>
      </c>
      <c r="I57" s="1">
        <f t="shared" ref="I57:I61" si="10">N57*O57</f>
        <v>30</v>
      </c>
      <c r="J57" s="1">
        <f t="shared" ref="J57:J61" si="11">G57/F57</f>
        <v>10</v>
      </c>
      <c r="K57" s="1">
        <v>150000</v>
      </c>
      <c r="L57" s="1">
        <v>8</v>
      </c>
      <c r="M57" s="1">
        <v>8</v>
      </c>
      <c r="N57" s="1">
        <v>5</v>
      </c>
      <c r="O57" s="1">
        <v>6</v>
      </c>
      <c r="P57" s="23"/>
      <c r="R57" s="1">
        <v>2.2023000000000001E-2</v>
      </c>
      <c r="S57" s="1">
        <v>0.13011300000000001</v>
      </c>
      <c r="T57" s="1">
        <v>7</v>
      </c>
      <c r="U57" s="1">
        <v>808</v>
      </c>
      <c r="V57" s="1">
        <v>1103</v>
      </c>
      <c r="W57" s="1">
        <v>247</v>
      </c>
      <c r="X57" s="1" t="s">
        <v>146</v>
      </c>
      <c r="Y57" s="1" t="s">
        <v>43</v>
      </c>
      <c r="Z57" s="1">
        <v>0.03</v>
      </c>
      <c r="AA57" s="1">
        <v>0.31</v>
      </c>
      <c r="AB57" s="1">
        <v>0.63</v>
      </c>
      <c r="AC57" s="1">
        <v>4.53</v>
      </c>
      <c r="AD57" s="1" t="s">
        <v>147</v>
      </c>
      <c r="AE57" s="1" t="s">
        <v>148</v>
      </c>
    </row>
    <row r="58" spans="1:31" s="1" customFormat="1" x14ac:dyDescent="0.6">
      <c r="A58" s="1">
        <v>47</v>
      </c>
      <c r="B58" s="1" t="s">
        <v>39</v>
      </c>
      <c r="C58" s="1" t="s">
        <v>33</v>
      </c>
      <c r="D58" s="1" t="s">
        <v>145</v>
      </c>
      <c r="E58" s="1">
        <v>6</v>
      </c>
      <c r="F58" s="1">
        <v>0.03</v>
      </c>
      <c r="G58" s="1">
        <v>0.3</v>
      </c>
      <c r="H58" s="1">
        <v>0.1</v>
      </c>
      <c r="I58" s="1">
        <f>N58*O58</f>
        <v>100</v>
      </c>
      <c r="J58" s="1">
        <f>G58/F58</f>
        <v>10</v>
      </c>
      <c r="K58" s="1">
        <v>150000</v>
      </c>
      <c r="L58" s="1">
        <v>8</v>
      </c>
      <c r="M58" s="1">
        <v>8</v>
      </c>
      <c r="N58" s="1">
        <v>5</v>
      </c>
      <c r="O58" s="1">
        <v>20</v>
      </c>
      <c r="P58" s="23"/>
      <c r="R58" s="1">
        <v>5.1749000000000003E-2</v>
      </c>
      <c r="S58" s="1">
        <v>0.294238</v>
      </c>
      <c r="T58" s="1">
        <v>10</v>
      </c>
      <c r="U58" s="1">
        <v>4438</v>
      </c>
      <c r="V58" s="1">
        <v>6309</v>
      </c>
      <c r="W58" s="1">
        <v>1606</v>
      </c>
      <c r="X58" s="1" t="s">
        <v>146</v>
      </c>
      <c r="Y58" s="1" t="s">
        <v>43</v>
      </c>
      <c r="Z58" s="1">
        <v>0.46</v>
      </c>
      <c r="AA58" s="1">
        <v>1.26</v>
      </c>
      <c r="AB58" s="1">
        <v>2.81</v>
      </c>
      <c r="AC58" s="1">
        <v>11.69</v>
      </c>
      <c r="AD58" s="1" t="s">
        <v>149</v>
      </c>
      <c r="AE58" s="1" t="s">
        <v>150</v>
      </c>
    </row>
    <row r="59" spans="1:31" s="1" customFormat="1" x14ac:dyDescent="0.6">
      <c r="A59" s="1">
        <v>50</v>
      </c>
      <c r="B59" s="1" t="s">
        <v>41</v>
      </c>
      <c r="C59" s="1" t="s">
        <v>33</v>
      </c>
      <c r="D59" s="1" t="s">
        <v>145</v>
      </c>
      <c r="E59" s="1">
        <v>8</v>
      </c>
      <c r="F59" s="1">
        <v>0.03</v>
      </c>
      <c r="G59" s="1">
        <v>0.3</v>
      </c>
      <c r="H59" s="1">
        <v>0.1</v>
      </c>
      <c r="I59" s="1">
        <f>N59*O59</f>
        <v>400</v>
      </c>
      <c r="J59" s="1">
        <f>G59/F59</f>
        <v>10</v>
      </c>
      <c r="K59" s="1">
        <v>150000</v>
      </c>
      <c r="L59" s="1">
        <v>16</v>
      </c>
      <c r="M59" s="1">
        <v>8</v>
      </c>
      <c r="N59" s="1">
        <v>5</v>
      </c>
      <c r="O59" s="1">
        <v>80</v>
      </c>
      <c r="P59" s="23"/>
      <c r="R59" s="1">
        <v>0.28409899999999999</v>
      </c>
      <c r="S59" s="1">
        <v>1.6153379999999999</v>
      </c>
      <c r="T59" s="1">
        <v>13</v>
      </c>
      <c r="U59" s="1">
        <v>21944</v>
      </c>
      <c r="V59" s="1">
        <v>32243</v>
      </c>
      <c r="W59" s="1">
        <v>9416</v>
      </c>
      <c r="X59" s="1" t="s">
        <v>146</v>
      </c>
      <c r="Y59" s="1" t="s">
        <v>43</v>
      </c>
      <c r="Z59" s="1">
        <v>11.14</v>
      </c>
      <c r="AA59" s="1">
        <v>12.36</v>
      </c>
      <c r="AB59" s="1">
        <v>48.04</v>
      </c>
      <c r="AC59" s="1">
        <v>153.25</v>
      </c>
      <c r="AD59" s="1" t="s">
        <v>155</v>
      </c>
      <c r="AE59" s="1" t="s">
        <v>156</v>
      </c>
    </row>
    <row r="60" spans="1:31" s="1" customFormat="1" x14ac:dyDescent="0.6">
      <c r="A60" s="1">
        <v>48</v>
      </c>
      <c r="B60" s="1" t="s">
        <v>32</v>
      </c>
      <c r="C60" s="1" t="s">
        <v>45</v>
      </c>
      <c r="D60" s="1" t="s">
        <v>145</v>
      </c>
      <c r="E60" s="1">
        <v>4</v>
      </c>
      <c r="F60" s="1">
        <v>0.03</v>
      </c>
      <c r="G60" s="1">
        <v>0.3</v>
      </c>
      <c r="H60" s="1">
        <v>0.1</v>
      </c>
      <c r="I60" s="1">
        <f t="shared" si="10"/>
        <v>30</v>
      </c>
      <c r="J60" s="1">
        <f t="shared" si="11"/>
        <v>10</v>
      </c>
      <c r="K60" s="1">
        <v>150000</v>
      </c>
      <c r="L60" s="60" t="s">
        <v>46</v>
      </c>
      <c r="M60" s="60" t="s">
        <v>46</v>
      </c>
      <c r="N60" s="1">
        <v>1</v>
      </c>
      <c r="O60" s="1">
        <v>30</v>
      </c>
      <c r="P60" s="23"/>
      <c r="R60" s="1">
        <v>0.102284</v>
      </c>
      <c r="S60" s="1">
        <v>0.60430200000000001</v>
      </c>
      <c r="T60" s="1">
        <v>9</v>
      </c>
      <c r="U60" s="1">
        <v>432601</v>
      </c>
      <c r="V60" s="1">
        <v>708749</v>
      </c>
      <c r="W60" s="1">
        <v>119440</v>
      </c>
      <c r="X60" s="1" t="s">
        <v>146</v>
      </c>
      <c r="Y60" s="1" t="s">
        <v>43</v>
      </c>
      <c r="Z60" s="1">
        <v>0.7</v>
      </c>
      <c r="AA60" s="1">
        <v>8.57</v>
      </c>
      <c r="AB60" s="1">
        <v>18.14</v>
      </c>
      <c r="AC60" s="1">
        <v>53.08</v>
      </c>
      <c r="AD60" s="1" t="s">
        <v>151</v>
      </c>
      <c r="AE60" s="1" t="s">
        <v>152</v>
      </c>
    </row>
    <row r="61" spans="1:31" s="1" customFormat="1" x14ac:dyDescent="0.6">
      <c r="A61" s="1">
        <v>49</v>
      </c>
      <c r="B61" s="1" t="s">
        <v>39</v>
      </c>
      <c r="C61" s="1" t="s">
        <v>45</v>
      </c>
      <c r="D61" s="1" t="s">
        <v>145</v>
      </c>
      <c r="E61" s="1">
        <v>6</v>
      </c>
      <c r="F61" s="1">
        <v>0.03</v>
      </c>
      <c r="G61" s="1">
        <v>0.3</v>
      </c>
      <c r="H61" s="1">
        <v>0.1</v>
      </c>
      <c r="I61" s="1">
        <f t="shared" si="10"/>
        <v>100</v>
      </c>
      <c r="J61" s="1">
        <f t="shared" si="11"/>
        <v>10</v>
      </c>
      <c r="K61" s="1">
        <v>150000</v>
      </c>
      <c r="L61" s="60" t="s">
        <v>46</v>
      </c>
      <c r="M61" s="60" t="s">
        <v>46</v>
      </c>
      <c r="N61" s="1">
        <v>1</v>
      </c>
      <c r="O61" s="1">
        <v>100</v>
      </c>
      <c r="P61" s="23"/>
      <c r="R61" s="1">
        <v>1.7316999999999999E-2</v>
      </c>
      <c r="S61" s="1">
        <v>9.8462999999999995E-2</v>
      </c>
      <c r="T61" s="1">
        <v>9</v>
      </c>
      <c r="U61" s="1">
        <v>432599</v>
      </c>
      <c r="V61" s="1">
        <v>708749</v>
      </c>
      <c r="W61" s="1">
        <v>119440</v>
      </c>
      <c r="X61" s="1" t="s">
        <v>146</v>
      </c>
      <c r="Y61" s="1" t="s">
        <v>43</v>
      </c>
      <c r="Z61" s="1">
        <v>5.65</v>
      </c>
      <c r="AA61" s="1">
        <v>76.17</v>
      </c>
      <c r="AB61" s="1">
        <v>170.84</v>
      </c>
      <c r="AC61" s="1">
        <v>277.10000000000002</v>
      </c>
      <c r="AD61" s="1" t="s">
        <v>153</v>
      </c>
      <c r="AE61" s="1" t="s">
        <v>154</v>
      </c>
    </row>
    <row r="62" spans="1:31" s="1" customFormat="1" x14ac:dyDescent="0.6">
      <c r="A62" s="1">
        <v>51</v>
      </c>
      <c r="B62" s="1" t="s">
        <v>41</v>
      </c>
      <c r="C62" s="1" t="s">
        <v>45</v>
      </c>
      <c r="D62" s="1" t="s">
        <v>145</v>
      </c>
      <c r="E62" s="1">
        <v>8</v>
      </c>
      <c r="F62" s="1">
        <v>0.03</v>
      </c>
      <c r="G62" s="1">
        <v>0.3</v>
      </c>
      <c r="H62" s="1">
        <v>0.1</v>
      </c>
      <c r="I62" s="1">
        <f>N62*O62</f>
        <v>400</v>
      </c>
      <c r="J62" s="1">
        <f>G62/F62</f>
        <v>10</v>
      </c>
      <c r="K62" s="1">
        <v>150000</v>
      </c>
      <c r="L62" s="60" t="s">
        <v>46</v>
      </c>
      <c r="M62" s="60" t="s">
        <v>46</v>
      </c>
      <c r="N62" s="1">
        <v>1</v>
      </c>
      <c r="O62" s="1">
        <v>400</v>
      </c>
      <c r="P62" s="23"/>
      <c r="R62" s="1">
        <v>5.7592999999999998E-2</v>
      </c>
      <c r="S62" s="1">
        <v>0.327463</v>
      </c>
      <c r="T62" s="1">
        <v>9</v>
      </c>
      <c r="U62" s="1">
        <v>432576</v>
      </c>
      <c r="V62" s="1">
        <v>708725</v>
      </c>
      <c r="W62" s="1">
        <v>119440</v>
      </c>
      <c r="X62" s="1" t="s">
        <v>146</v>
      </c>
      <c r="Y62" s="1" t="s">
        <v>43</v>
      </c>
      <c r="Z62" s="1">
        <v>84.43</v>
      </c>
      <c r="AA62" s="1">
        <v>1070.54</v>
      </c>
      <c r="AB62" s="1">
        <v>2218.6799999999998</v>
      </c>
      <c r="AC62" s="1">
        <v>3401.12</v>
      </c>
      <c r="AD62" s="1" t="s">
        <v>157</v>
      </c>
      <c r="AE62" s="1" t="s">
        <v>158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workbookViewId="0"/>
  </sheetViews>
  <sheetFormatPr defaultRowHeight="15.6" x14ac:dyDescent="0.6"/>
  <sheetData>
    <row r="1" spans="1:20" x14ac:dyDescent="0.6">
      <c r="A1" t="s">
        <v>2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28</v>
      </c>
      <c r="S1" t="s">
        <v>164</v>
      </c>
      <c r="T1" t="s">
        <v>30</v>
      </c>
    </row>
    <row r="2" spans="1:20" x14ac:dyDescent="0.6">
      <c r="A2" t="s">
        <v>33</v>
      </c>
      <c r="B2">
        <v>8</v>
      </c>
      <c r="C2">
        <v>0.15</v>
      </c>
      <c r="D2">
        <v>0.3</v>
      </c>
      <c r="E2">
        <v>0.1</v>
      </c>
      <c r="F2">
        <v>512</v>
      </c>
      <c r="G2">
        <v>2</v>
      </c>
      <c r="H2">
        <v>0</v>
      </c>
      <c r="I2">
        <v>4</v>
      </c>
      <c r="J2">
        <v>8</v>
      </c>
      <c r="K2">
        <v>512</v>
      </c>
      <c r="L2">
        <v>1</v>
      </c>
      <c r="M2">
        <v>9.0000000000000006E-5</v>
      </c>
      <c r="N2">
        <v>1</v>
      </c>
      <c r="O2">
        <v>800</v>
      </c>
      <c r="P2">
        <v>1024</v>
      </c>
      <c r="Q2">
        <v>512</v>
      </c>
      <c r="R2">
        <v>124.8</v>
      </c>
      <c r="S2" t="s">
        <v>165</v>
      </c>
      <c r="T2" t="s">
        <v>166</v>
      </c>
    </row>
    <row r="3" spans="1:20" x14ac:dyDescent="0.6">
      <c r="A3" t="s">
        <v>33</v>
      </c>
      <c r="B3">
        <v>8</v>
      </c>
      <c r="C3">
        <v>0.12</v>
      </c>
      <c r="D3">
        <v>0.3</v>
      </c>
      <c r="E3">
        <v>0.1</v>
      </c>
      <c r="F3">
        <v>512</v>
      </c>
      <c r="G3">
        <v>2.5</v>
      </c>
      <c r="H3">
        <v>0</v>
      </c>
      <c r="I3">
        <v>4</v>
      </c>
      <c r="J3">
        <v>8</v>
      </c>
      <c r="K3">
        <v>512</v>
      </c>
      <c r="L3">
        <v>1</v>
      </c>
      <c r="M3">
        <v>1.03E-4</v>
      </c>
      <c r="N3">
        <v>1</v>
      </c>
      <c r="O3">
        <v>800</v>
      </c>
      <c r="P3">
        <v>1024</v>
      </c>
      <c r="Q3">
        <v>409.6</v>
      </c>
      <c r="R3">
        <v>125.6</v>
      </c>
      <c r="S3" t="s">
        <v>165</v>
      </c>
      <c r="T3" t="s">
        <v>167</v>
      </c>
    </row>
    <row r="4" spans="1:20" x14ac:dyDescent="0.6">
      <c r="A4" t="s">
        <v>33</v>
      </c>
      <c r="B4">
        <v>8</v>
      </c>
      <c r="C4">
        <v>0.08</v>
      </c>
      <c r="D4">
        <v>0.3</v>
      </c>
      <c r="E4">
        <v>0.1</v>
      </c>
      <c r="F4">
        <v>512</v>
      </c>
      <c r="G4">
        <v>3.8</v>
      </c>
      <c r="H4">
        <v>0</v>
      </c>
      <c r="I4">
        <v>4</v>
      </c>
      <c r="J4">
        <v>8</v>
      </c>
      <c r="K4">
        <v>512</v>
      </c>
      <c r="L4">
        <v>1</v>
      </c>
      <c r="M4">
        <v>1.2300000000000001E-4</v>
      </c>
      <c r="N4">
        <v>1</v>
      </c>
      <c r="O4">
        <v>800</v>
      </c>
      <c r="P4">
        <v>1024</v>
      </c>
      <c r="Q4">
        <v>273.10000000000002</v>
      </c>
      <c r="R4">
        <v>126</v>
      </c>
      <c r="S4" t="s">
        <v>165</v>
      </c>
      <c r="T4" t="s">
        <v>168</v>
      </c>
    </row>
    <row r="5" spans="1:20" x14ac:dyDescent="0.6">
      <c r="A5" t="s">
        <v>33</v>
      </c>
      <c r="B5">
        <v>8</v>
      </c>
      <c r="C5">
        <v>0.05</v>
      </c>
      <c r="D5">
        <v>0.3</v>
      </c>
      <c r="E5">
        <v>0.1</v>
      </c>
      <c r="F5">
        <v>512</v>
      </c>
      <c r="G5">
        <v>6</v>
      </c>
      <c r="H5">
        <v>0</v>
      </c>
      <c r="I5">
        <v>4</v>
      </c>
      <c r="J5">
        <v>8</v>
      </c>
      <c r="K5">
        <v>512</v>
      </c>
      <c r="L5">
        <v>1</v>
      </c>
      <c r="M5">
        <v>1.44E-4</v>
      </c>
      <c r="N5">
        <v>1</v>
      </c>
      <c r="O5">
        <v>800</v>
      </c>
      <c r="P5">
        <v>1024</v>
      </c>
      <c r="Q5">
        <v>170.7</v>
      </c>
      <c r="R5">
        <v>126.8</v>
      </c>
      <c r="S5" t="s">
        <v>165</v>
      </c>
      <c r="T5" t="s">
        <v>169</v>
      </c>
    </row>
    <row r="6" spans="1:20" x14ac:dyDescent="0.6">
      <c r="A6" t="s">
        <v>33</v>
      </c>
      <c r="B6">
        <v>8</v>
      </c>
      <c r="C6">
        <v>0.03</v>
      </c>
      <c r="D6">
        <v>0.3</v>
      </c>
      <c r="E6">
        <v>0.1</v>
      </c>
      <c r="F6">
        <v>512</v>
      </c>
      <c r="G6">
        <v>10</v>
      </c>
      <c r="H6">
        <v>0</v>
      </c>
      <c r="I6">
        <v>4</v>
      </c>
      <c r="J6">
        <v>8</v>
      </c>
      <c r="K6">
        <v>512</v>
      </c>
      <c r="L6">
        <v>1</v>
      </c>
      <c r="M6">
        <v>1.6899999999999999E-4</v>
      </c>
      <c r="N6">
        <v>1</v>
      </c>
      <c r="O6">
        <v>800</v>
      </c>
      <c r="P6">
        <v>1024</v>
      </c>
      <c r="Q6">
        <v>102.4</v>
      </c>
      <c r="R6">
        <v>126.9</v>
      </c>
      <c r="S6" t="s">
        <v>165</v>
      </c>
      <c r="T6" t="s">
        <v>170</v>
      </c>
    </row>
    <row r="7" spans="1:20" x14ac:dyDescent="0.6">
      <c r="A7" t="s">
        <v>33</v>
      </c>
      <c r="B7">
        <v>8</v>
      </c>
      <c r="C7">
        <v>0.02</v>
      </c>
      <c r="D7">
        <v>0.3</v>
      </c>
      <c r="E7">
        <v>0.1</v>
      </c>
      <c r="F7">
        <v>512</v>
      </c>
      <c r="G7">
        <v>15</v>
      </c>
      <c r="H7">
        <v>0</v>
      </c>
      <c r="I7">
        <v>4</v>
      </c>
      <c r="J7">
        <v>8</v>
      </c>
      <c r="K7">
        <v>512</v>
      </c>
      <c r="L7">
        <v>1</v>
      </c>
      <c r="M7">
        <v>1.8699999999999999E-4</v>
      </c>
      <c r="N7">
        <v>1</v>
      </c>
      <c r="O7">
        <v>800</v>
      </c>
      <c r="P7">
        <v>1024</v>
      </c>
      <c r="Q7">
        <v>68.3</v>
      </c>
      <c r="R7">
        <v>125.7</v>
      </c>
      <c r="S7" t="s">
        <v>165</v>
      </c>
      <c r="T7" t="s">
        <v>171</v>
      </c>
    </row>
    <row r="8" spans="1:20" x14ac:dyDescent="0.6">
      <c r="A8" t="s">
        <v>33</v>
      </c>
      <c r="B8">
        <v>8</v>
      </c>
      <c r="C8">
        <v>1.4999999999999999E-2</v>
      </c>
      <c r="D8">
        <v>0.3</v>
      </c>
      <c r="E8">
        <v>0.1</v>
      </c>
      <c r="F8">
        <v>512</v>
      </c>
      <c r="G8">
        <v>20</v>
      </c>
      <c r="H8">
        <v>0</v>
      </c>
      <c r="I8">
        <v>4</v>
      </c>
      <c r="J8">
        <v>8</v>
      </c>
      <c r="K8">
        <v>512</v>
      </c>
      <c r="L8">
        <v>1</v>
      </c>
      <c r="M8">
        <v>1.9900000000000001E-4</v>
      </c>
      <c r="N8">
        <v>1</v>
      </c>
      <c r="O8">
        <v>800</v>
      </c>
      <c r="P8">
        <v>1024</v>
      </c>
      <c r="Q8">
        <v>51.2</v>
      </c>
      <c r="R8">
        <v>126.9</v>
      </c>
      <c r="S8" t="s">
        <v>165</v>
      </c>
      <c r="T8" t="s">
        <v>172</v>
      </c>
    </row>
    <row r="9" spans="1:20" x14ac:dyDescent="0.6">
      <c r="A9" t="s">
        <v>33</v>
      </c>
      <c r="B9">
        <v>8</v>
      </c>
      <c r="C9">
        <v>0.01</v>
      </c>
      <c r="D9">
        <v>0.3</v>
      </c>
      <c r="E9">
        <v>0.1</v>
      </c>
      <c r="F9">
        <v>512</v>
      </c>
      <c r="G9">
        <v>30</v>
      </c>
      <c r="H9">
        <v>0</v>
      </c>
      <c r="I9">
        <v>4</v>
      </c>
      <c r="J9">
        <v>8</v>
      </c>
      <c r="K9">
        <v>512</v>
      </c>
      <c r="L9">
        <v>1</v>
      </c>
      <c r="M9">
        <v>2.1599999999999999E-4</v>
      </c>
      <c r="N9">
        <v>1</v>
      </c>
      <c r="O9">
        <v>800</v>
      </c>
      <c r="P9">
        <v>1024</v>
      </c>
      <c r="Q9">
        <v>34.1</v>
      </c>
      <c r="R9">
        <v>126.6</v>
      </c>
      <c r="S9" t="s">
        <v>165</v>
      </c>
      <c r="T9" t="s">
        <v>173</v>
      </c>
    </row>
    <row r="10" spans="1:20" x14ac:dyDescent="0.6">
      <c r="A10" t="s">
        <v>33</v>
      </c>
      <c r="B10">
        <v>8</v>
      </c>
      <c r="C10">
        <v>7.4999999999999997E-3</v>
      </c>
      <c r="D10">
        <v>0.3</v>
      </c>
      <c r="E10">
        <v>0.1</v>
      </c>
      <c r="F10">
        <v>512</v>
      </c>
      <c r="G10">
        <v>40</v>
      </c>
      <c r="H10">
        <v>0</v>
      </c>
      <c r="I10">
        <v>4</v>
      </c>
      <c r="J10">
        <v>8</v>
      </c>
      <c r="K10">
        <v>512</v>
      </c>
      <c r="L10">
        <v>1</v>
      </c>
      <c r="M10">
        <v>2.7399999999999999E-4</v>
      </c>
      <c r="N10">
        <v>1</v>
      </c>
      <c r="O10">
        <v>800</v>
      </c>
      <c r="P10">
        <v>1024</v>
      </c>
      <c r="Q10">
        <v>25.6</v>
      </c>
      <c r="R10">
        <v>127</v>
      </c>
      <c r="S10" t="s">
        <v>165</v>
      </c>
      <c r="T10" t="s">
        <v>174</v>
      </c>
    </row>
    <row r="11" spans="1:20" x14ac:dyDescent="0.6">
      <c r="A11" t="s">
        <v>33</v>
      </c>
      <c r="B11">
        <v>8</v>
      </c>
      <c r="C11">
        <v>5.0000000000000001E-3</v>
      </c>
      <c r="D11">
        <v>0.3</v>
      </c>
      <c r="E11">
        <v>0.1</v>
      </c>
      <c r="F11">
        <v>512</v>
      </c>
      <c r="G11">
        <v>60</v>
      </c>
      <c r="H11">
        <v>0</v>
      </c>
      <c r="I11">
        <v>4</v>
      </c>
      <c r="J11">
        <v>8</v>
      </c>
      <c r="K11">
        <v>512</v>
      </c>
      <c r="L11">
        <v>1</v>
      </c>
      <c r="M11">
        <v>1.3140000000000001E-3</v>
      </c>
      <c r="N11">
        <v>1</v>
      </c>
      <c r="O11">
        <v>800</v>
      </c>
      <c r="P11">
        <v>1024</v>
      </c>
      <c r="Q11">
        <v>17.100000000000001</v>
      </c>
      <c r="R11">
        <v>126.9</v>
      </c>
      <c r="S11" t="s">
        <v>165</v>
      </c>
      <c r="T11" t="s">
        <v>175</v>
      </c>
    </row>
    <row r="12" spans="1:20" x14ac:dyDescent="0.6">
      <c r="A12" t="s">
        <v>33</v>
      </c>
      <c r="B12">
        <v>8</v>
      </c>
      <c r="C12">
        <v>3.0000000000000001E-3</v>
      </c>
      <c r="D12">
        <v>0.3</v>
      </c>
      <c r="E12">
        <v>0.1</v>
      </c>
      <c r="F12">
        <v>512</v>
      </c>
      <c r="G12">
        <v>100</v>
      </c>
      <c r="H12">
        <v>0</v>
      </c>
      <c r="I12">
        <v>4</v>
      </c>
      <c r="J12">
        <v>8</v>
      </c>
      <c r="K12">
        <v>512</v>
      </c>
      <c r="L12">
        <v>1</v>
      </c>
      <c r="M12">
        <v>2.1697999999999999E-2</v>
      </c>
      <c r="N12">
        <v>0.99980000000000002</v>
      </c>
      <c r="O12">
        <v>800</v>
      </c>
      <c r="P12">
        <v>1024</v>
      </c>
      <c r="Q12">
        <v>10.199999999999999</v>
      </c>
      <c r="R12">
        <v>125.9</v>
      </c>
      <c r="S12" t="s">
        <v>165</v>
      </c>
      <c r="T12" t="s">
        <v>176</v>
      </c>
    </row>
    <row r="13" spans="1:20" x14ac:dyDescent="0.6">
      <c r="A13" t="s">
        <v>33</v>
      </c>
      <c r="B13">
        <v>8</v>
      </c>
      <c r="C13">
        <v>2.5000000000000001E-3</v>
      </c>
      <c r="D13">
        <v>0.3</v>
      </c>
      <c r="E13">
        <v>0.1</v>
      </c>
      <c r="F13">
        <v>512</v>
      </c>
      <c r="G13">
        <v>120</v>
      </c>
      <c r="H13">
        <v>0</v>
      </c>
      <c r="I13">
        <v>4</v>
      </c>
      <c r="J13">
        <v>8</v>
      </c>
      <c r="K13">
        <v>512</v>
      </c>
      <c r="L13">
        <v>1</v>
      </c>
      <c r="M13">
        <v>6.5762000000000001E-2</v>
      </c>
      <c r="N13">
        <v>0.99780000000000002</v>
      </c>
      <c r="O13">
        <v>800</v>
      </c>
      <c r="P13">
        <v>1024</v>
      </c>
      <c r="Q13">
        <v>8.5</v>
      </c>
      <c r="R13">
        <v>125.4</v>
      </c>
      <c r="S13" t="s">
        <v>165</v>
      </c>
      <c r="T13" t="s">
        <v>177</v>
      </c>
    </row>
    <row r="14" spans="1:20" x14ac:dyDescent="0.6">
      <c r="A14" t="s">
        <v>33</v>
      </c>
      <c r="B14">
        <v>8</v>
      </c>
      <c r="C14">
        <v>2E-3</v>
      </c>
      <c r="D14">
        <v>0.3</v>
      </c>
      <c r="E14">
        <v>0.1</v>
      </c>
      <c r="F14">
        <v>512</v>
      </c>
      <c r="G14">
        <v>150</v>
      </c>
      <c r="H14">
        <v>0</v>
      </c>
      <c r="I14">
        <v>4</v>
      </c>
      <c r="J14">
        <v>8</v>
      </c>
      <c r="K14">
        <v>512</v>
      </c>
      <c r="L14">
        <v>1</v>
      </c>
      <c r="M14">
        <v>0.40121499999999999</v>
      </c>
      <c r="N14">
        <v>0.92979999999999996</v>
      </c>
      <c r="O14">
        <v>1280</v>
      </c>
      <c r="P14">
        <v>1280</v>
      </c>
      <c r="Q14">
        <v>8.5</v>
      </c>
      <c r="R14">
        <v>46.7</v>
      </c>
      <c r="S14" t="s">
        <v>165</v>
      </c>
      <c r="T14" t="s">
        <v>178</v>
      </c>
    </row>
    <row r="15" spans="1:20" x14ac:dyDescent="0.6">
      <c r="A15" t="s">
        <v>33</v>
      </c>
      <c r="B15">
        <v>8</v>
      </c>
      <c r="C15">
        <v>1.5E-3</v>
      </c>
      <c r="D15">
        <v>0.3</v>
      </c>
      <c r="E15">
        <v>0.1</v>
      </c>
      <c r="F15">
        <v>512</v>
      </c>
      <c r="G15">
        <v>200</v>
      </c>
      <c r="H15">
        <v>0</v>
      </c>
      <c r="I15">
        <v>4</v>
      </c>
      <c r="J15">
        <v>8</v>
      </c>
      <c r="K15">
        <v>512</v>
      </c>
      <c r="L15">
        <v>1</v>
      </c>
      <c r="M15">
        <v>13.292014</v>
      </c>
      <c r="N15">
        <v>0.10249999999999999</v>
      </c>
      <c r="O15">
        <v>1536</v>
      </c>
      <c r="P15">
        <v>1536</v>
      </c>
      <c r="Q15">
        <v>7.7</v>
      </c>
      <c r="R15">
        <v>46.6</v>
      </c>
      <c r="S15" t="s">
        <v>179</v>
      </c>
      <c r="T15" t="s">
        <v>180</v>
      </c>
    </row>
    <row r="16" spans="1:20" x14ac:dyDescent="0.6">
      <c r="A16" t="s">
        <v>33</v>
      </c>
      <c r="B16">
        <v>8</v>
      </c>
      <c r="C16">
        <v>1E-3</v>
      </c>
      <c r="D16">
        <v>0.3</v>
      </c>
      <c r="E16">
        <v>0.1</v>
      </c>
      <c r="F16">
        <v>512</v>
      </c>
      <c r="G16">
        <v>300</v>
      </c>
      <c r="H16">
        <v>0</v>
      </c>
      <c r="I16">
        <v>4</v>
      </c>
      <c r="J16">
        <v>8</v>
      </c>
      <c r="K16">
        <v>512</v>
      </c>
      <c r="L16">
        <v>1</v>
      </c>
      <c r="M16">
        <v>13.542119</v>
      </c>
      <c r="N16">
        <v>3.9800000000000002E-2</v>
      </c>
      <c r="O16">
        <v>2048</v>
      </c>
      <c r="P16">
        <v>2048</v>
      </c>
      <c r="Q16">
        <v>6.8</v>
      </c>
      <c r="R16">
        <v>46.5</v>
      </c>
      <c r="S16" t="s">
        <v>179</v>
      </c>
      <c r="T16" t="s">
        <v>181</v>
      </c>
    </row>
    <row r="17" spans="1:20" x14ac:dyDescent="0.6">
      <c r="A17" t="s">
        <v>33</v>
      </c>
      <c r="B17">
        <v>8</v>
      </c>
      <c r="C17">
        <v>7.5000000000000002E-4</v>
      </c>
      <c r="D17">
        <v>0.3</v>
      </c>
      <c r="E17">
        <v>0.1</v>
      </c>
      <c r="F17">
        <v>512</v>
      </c>
      <c r="G17">
        <v>400</v>
      </c>
      <c r="H17">
        <v>0</v>
      </c>
      <c r="I17">
        <v>4</v>
      </c>
      <c r="J17">
        <v>8</v>
      </c>
      <c r="K17">
        <v>512</v>
      </c>
      <c r="L17">
        <v>1</v>
      </c>
      <c r="M17">
        <v>7.0657750000000004</v>
      </c>
      <c r="N17">
        <v>4.1000000000000002E-2</v>
      </c>
      <c r="O17">
        <v>2816</v>
      </c>
      <c r="P17">
        <v>2816</v>
      </c>
      <c r="Q17">
        <v>7</v>
      </c>
      <c r="R17">
        <v>46.8</v>
      </c>
      <c r="S17" t="s">
        <v>179</v>
      </c>
      <c r="T17" t="s">
        <v>182</v>
      </c>
    </row>
    <row r="18" spans="1:20" x14ac:dyDescent="0.6">
      <c r="A18" t="s">
        <v>33</v>
      </c>
      <c r="B18">
        <v>8</v>
      </c>
      <c r="C18">
        <v>5.0000000000000001E-4</v>
      </c>
      <c r="D18">
        <v>0.3</v>
      </c>
      <c r="E18">
        <v>0.1</v>
      </c>
      <c r="F18">
        <v>512</v>
      </c>
      <c r="G18">
        <v>600</v>
      </c>
      <c r="H18">
        <v>0</v>
      </c>
      <c r="I18">
        <v>4</v>
      </c>
      <c r="J18">
        <v>8</v>
      </c>
      <c r="K18">
        <v>512</v>
      </c>
      <c r="L18">
        <v>1</v>
      </c>
      <c r="M18">
        <v>5.6820779999999997</v>
      </c>
      <c r="N18">
        <v>3.5999999999999997E-2</v>
      </c>
      <c r="O18">
        <v>4096</v>
      </c>
      <c r="P18">
        <v>4096</v>
      </c>
      <c r="Q18">
        <v>6.8</v>
      </c>
      <c r="R18">
        <v>47.2</v>
      </c>
      <c r="S18" t="s">
        <v>179</v>
      </c>
      <c r="T18" t="s">
        <v>183</v>
      </c>
    </row>
    <row r="19" spans="1:20" x14ac:dyDescent="0.6">
      <c r="A19" t="s">
        <v>33</v>
      </c>
      <c r="B19">
        <v>8</v>
      </c>
      <c r="C19">
        <v>4.0000000000000002E-4</v>
      </c>
      <c r="D19">
        <v>0.3</v>
      </c>
      <c r="E19">
        <v>0.1</v>
      </c>
      <c r="F19">
        <v>512</v>
      </c>
      <c r="G19">
        <v>750</v>
      </c>
      <c r="H19">
        <v>0</v>
      </c>
      <c r="I19">
        <v>4</v>
      </c>
      <c r="J19">
        <v>8</v>
      </c>
      <c r="K19">
        <v>512</v>
      </c>
      <c r="L19">
        <v>1</v>
      </c>
      <c r="M19">
        <v>5.0730440000000003</v>
      </c>
      <c r="N19">
        <v>3.32E-2</v>
      </c>
      <c r="O19">
        <v>5120</v>
      </c>
      <c r="P19">
        <v>5120</v>
      </c>
      <c r="Q19">
        <v>6.8</v>
      </c>
      <c r="R19">
        <v>129.4</v>
      </c>
      <c r="S19" t="s">
        <v>179</v>
      </c>
      <c r="T19" t="s">
        <v>184</v>
      </c>
    </row>
    <row r="20" spans="1:20" x14ac:dyDescent="0.6">
      <c r="A20" t="s">
        <v>33</v>
      </c>
      <c r="B20">
        <v>8</v>
      </c>
      <c r="C20">
        <v>2.9999999999999997E-4</v>
      </c>
      <c r="D20">
        <v>0.3</v>
      </c>
      <c r="E20">
        <v>0.1</v>
      </c>
      <c r="F20">
        <v>512</v>
      </c>
      <c r="G20">
        <v>1000</v>
      </c>
      <c r="H20">
        <v>0</v>
      </c>
      <c r="I20">
        <v>4</v>
      </c>
      <c r="J20">
        <v>8</v>
      </c>
      <c r="K20">
        <v>512</v>
      </c>
      <c r="L20">
        <v>1</v>
      </c>
      <c r="M20">
        <v>4.5500860000000003</v>
      </c>
      <c r="N20">
        <v>2.18E-2</v>
      </c>
      <c r="O20">
        <v>6912</v>
      </c>
      <c r="P20">
        <v>6912</v>
      </c>
      <c r="Q20">
        <v>6.9</v>
      </c>
      <c r="R20">
        <v>130.80000000000001</v>
      </c>
      <c r="S20" t="s">
        <v>179</v>
      </c>
      <c r="T20" t="s">
        <v>185</v>
      </c>
    </row>
    <row r="21" spans="1:20" x14ac:dyDescent="0.6">
      <c r="A21" t="s">
        <v>33</v>
      </c>
      <c r="B21">
        <v>8</v>
      </c>
      <c r="C21">
        <v>2.5000000000000001E-4</v>
      </c>
      <c r="D21">
        <v>0.3</v>
      </c>
      <c r="E21">
        <v>0.1</v>
      </c>
      <c r="F21">
        <v>512</v>
      </c>
      <c r="G21">
        <v>1200</v>
      </c>
      <c r="H21">
        <v>0</v>
      </c>
      <c r="I21">
        <v>4</v>
      </c>
      <c r="J21">
        <v>8</v>
      </c>
      <c r="K21">
        <v>512</v>
      </c>
      <c r="L21">
        <v>1</v>
      </c>
      <c r="M21">
        <v>4.0558079999999999</v>
      </c>
      <c r="N21">
        <v>1.2200000000000001E-2</v>
      </c>
      <c r="O21">
        <v>8192</v>
      </c>
      <c r="P21">
        <v>8192</v>
      </c>
      <c r="Q21">
        <v>6.8</v>
      </c>
      <c r="R21">
        <v>129</v>
      </c>
      <c r="S21" t="s">
        <v>179</v>
      </c>
      <c r="T21" t="s">
        <v>186</v>
      </c>
    </row>
    <row r="22" spans="1:20" x14ac:dyDescent="0.6">
      <c r="A22" t="s">
        <v>33</v>
      </c>
      <c r="B22">
        <v>8</v>
      </c>
      <c r="C22">
        <v>2.0000000000000001E-4</v>
      </c>
      <c r="D22">
        <v>0.3</v>
      </c>
      <c r="E22">
        <v>0.1</v>
      </c>
      <c r="F22">
        <v>512</v>
      </c>
      <c r="G22">
        <v>1500</v>
      </c>
      <c r="H22">
        <v>0</v>
      </c>
      <c r="I22">
        <v>4</v>
      </c>
      <c r="J22">
        <v>8</v>
      </c>
      <c r="K22">
        <v>512</v>
      </c>
      <c r="L22">
        <v>1</v>
      </c>
      <c r="M22">
        <v>3.486151</v>
      </c>
      <c r="N22">
        <v>1.21E-2</v>
      </c>
      <c r="O22">
        <v>10240</v>
      </c>
      <c r="P22">
        <v>10240</v>
      </c>
      <c r="Q22">
        <v>6.8</v>
      </c>
      <c r="R22">
        <v>127.9</v>
      </c>
      <c r="S22" t="s">
        <v>179</v>
      </c>
      <c r="T22" t="s">
        <v>187</v>
      </c>
    </row>
    <row r="23" spans="1:20" x14ac:dyDescent="0.6">
      <c r="A23" t="s">
        <v>33</v>
      </c>
      <c r="B23">
        <v>8</v>
      </c>
      <c r="C23">
        <v>1.4999999999999999E-4</v>
      </c>
      <c r="D23">
        <v>0.3</v>
      </c>
      <c r="E23">
        <v>0.1</v>
      </c>
      <c r="F23">
        <v>512</v>
      </c>
      <c r="G23">
        <v>2000</v>
      </c>
      <c r="H23">
        <v>0</v>
      </c>
      <c r="I23">
        <v>4</v>
      </c>
      <c r="J23">
        <v>8</v>
      </c>
      <c r="K23">
        <v>512</v>
      </c>
      <c r="L23">
        <v>1</v>
      </c>
      <c r="M23">
        <v>2.8750300000000002</v>
      </c>
      <c r="N23">
        <v>1.21E-2</v>
      </c>
      <c r="O23">
        <v>13568</v>
      </c>
      <c r="P23">
        <v>13568</v>
      </c>
      <c r="Q23">
        <v>6.8</v>
      </c>
      <c r="R23">
        <v>130</v>
      </c>
      <c r="S23" t="s">
        <v>179</v>
      </c>
      <c r="T23" t="s">
        <v>188</v>
      </c>
    </row>
    <row r="24" spans="1:20" x14ac:dyDescent="0.6">
      <c r="A24" t="s">
        <v>33</v>
      </c>
      <c r="B24">
        <v>8</v>
      </c>
      <c r="C24">
        <v>0.15</v>
      </c>
      <c r="D24">
        <v>0.3</v>
      </c>
      <c r="E24">
        <v>0.1</v>
      </c>
      <c r="F24">
        <v>512</v>
      </c>
      <c r="G24">
        <v>2</v>
      </c>
      <c r="H24">
        <v>0</v>
      </c>
      <c r="I24">
        <v>8</v>
      </c>
      <c r="J24">
        <v>8</v>
      </c>
      <c r="K24">
        <v>512</v>
      </c>
      <c r="L24">
        <v>1</v>
      </c>
      <c r="M24">
        <v>9.0000000000000006E-5</v>
      </c>
      <c r="N24">
        <v>1</v>
      </c>
      <c r="O24">
        <v>800</v>
      </c>
      <c r="P24">
        <v>1024</v>
      </c>
      <c r="Q24">
        <v>512</v>
      </c>
      <c r="R24">
        <v>126.1</v>
      </c>
      <c r="S24" t="s">
        <v>165</v>
      </c>
      <c r="T24" t="s">
        <v>189</v>
      </c>
    </row>
    <row r="25" spans="1:20" x14ac:dyDescent="0.6">
      <c r="A25" t="s">
        <v>33</v>
      </c>
      <c r="B25">
        <v>8</v>
      </c>
      <c r="C25">
        <v>0.12</v>
      </c>
      <c r="D25">
        <v>0.3</v>
      </c>
      <c r="E25">
        <v>0.1</v>
      </c>
      <c r="F25">
        <v>512</v>
      </c>
      <c r="G25">
        <v>2.5</v>
      </c>
      <c r="H25">
        <v>0</v>
      </c>
      <c r="I25">
        <v>8</v>
      </c>
      <c r="J25">
        <v>8</v>
      </c>
      <c r="K25">
        <v>512</v>
      </c>
      <c r="L25">
        <v>1</v>
      </c>
      <c r="M25">
        <v>1.03E-4</v>
      </c>
      <c r="N25">
        <v>1</v>
      </c>
      <c r="O25">
        <v>800</v>
      </c>
      <c r="P25">
        <v>1024</v>
      </c>
      <c r="Q25">
        <v>409.6</v>
      </c>
      <c r="R25">
        <v>126.6</v>
      </c>
      <c r="S25" t="s">
        <v>165</v>
      </c>
      <c r="T25" t="s">
        <v>190</v>
      </c>
    </row>
    <row r="26" spans="1:20" x14ac:dyDescent="0.6">
      <c r="A26" t="s">
        <v>33</v>
      </c>
      <c r="B26">
        <v>8</v>
      </c>
      <c r="C26">
        <v>0.08</v>
      </c>
      <c r="D26">
        <v>0.3</v>
      </c>
      <c r="E26">
        <v>0.1</v>
      </c>
      <c r="F26">
        <v>512</v>
      </c>
      <c r="G26">
        <v>3.8</v>
      </c>
      <c r="H26">
        <v>0</v>
      </c>
      <c r="I26">
        <v>8</v>
      </c>
      <c r="J26">
        <v>8</v>
      </c>
      <c r="K26">
        <v>512</v>
      </c>
      <c r="L26">
        <v>1</v>
      </c>
      <c r="M26">
        <v>1.2300000000000001E-4</v>
      </c>
      <c r="N26">
        <v>1</v>
      </c>
      <c r="O26">
        <v>800</v>
      </c>
      <c r="P26">
        <v>1024</v>
      </c>
      <c r="Q26">
        <v>273.10000000000002</v>
      </c>
      <c r="R26">
        <v>126</v>
      </c>
      <c r="S26" t="s">
        <v>165</v>
      </c>
      <c r="T26" t="s">
        <v>191</v>
      </c>
    </row>
    <row r="27" spans="1:20" x14ac:dyDescent="0.6">
      <c r="A27" t="s">
        <v>33</v>
      </c>
      <c r="B27">
        <v>8</v>
      </c>
      <c r="C27">
        <v>0.05</v>
      </c>
      <c r="D27">
        <v>0.3</v>
      </c>
      <c r="E27">
        <v>0.1</v>
      </c>
      <c r="F27">
        <v>512</v>
      </c>
      <c r="G27">
        <v>6</v>
      </c>
      <c r="H27">
        <v>0</v>
      </c>
      <c r="I27">
        <v>8</v>
      </c>
      <c r="J27">
        <v>8</v>
      </c>
      <c r="K27">
        <v>512</v>
      </c>
      <c r="L27">
        <v>1</v>
      </c>
      <c r="M27">
        <v>1.44E-4</v>
      </c>
      <c r="N27">
        <v>1</v>
      </c>
      <c r="O27">
        <v>800</v>
      </c>
      <c r="P27">
        <v>1024</v>
      </c>
      <c r="Q27">
        <v>170.7</v>
      </c>
      <c r="R27">
        <v>125.7</v>
      </c>
      <c r="S27" t="s">
        <v>165</v>
      </c>
      <c r="T27" t="s">
        <v>192</v>
      </c>
    </row>
    <row r="28" spans="1:20" x14ac:dyDescent="0.6">
      <c r="A28" t="s">
        <v>33</v>
      </c>
      <c r="B28">
        <v>8</v>
      </c>
      <c r="C28">
        <v>0.03</v>
      </c>
      <c r="D28">
        <v>0.3</v>
      </c>
      <c r="E28">
        <v>0.1</v>
      </c>
      <c r="F28">
        <v>512</v>
      </c>
      <c r="G28">
        <v>10</v>
      </c>
      <c r="H28">
        <v>0</v>
      </c>
      <c r="I28">
        <v>8</v>
      </c>
      <c r="J28">
        <v>8</v>
      </c>
      <c r="K28">
        <v>512</v>
      </c>
      <c r="L28">
        <v>1</v>
      </c>
      <c r="M28">
        <v>1.6899999999999999E-4</v>
      </c>
      <c r="N28">
        <v>1</v>
      </c>
      <c r="O28">
        <v>800</v>
      </c>
      <c r="P28">
        <v>1024</v>
      </c>
      <c r="Q28">
        <v>102.4</v>
      </c>
      <c r="R28">
        <v>127.1</v>
      </c>
      <c r="S28" t="s">
        <v>165</v>
      </c>
      <c r="T28" t="s">
        <v>193</v>
      </c>
    </row>
    <row r="29" spans="1:20" x14ac:dyDescent="0.6">
      <c r="A29" t="s">
        <v>33</v>
      </c>
      <c r="B29">
        <v>8</v>
      </c>
      <c r="C29">
        <v>0.02</v>
      </c>
      <c r="D29">
        <v>0.3</v>
      </c>
      <c r="E29">
        <v>0.1</v>
      </c>
      <c r="F29">
        <v>512</v>
      </c>
      <c r="G29">
        <v>15</v>
      </c>
      <c r="H29">
        <v>0</v>
      </c>
      <c r="I29">
        <v>8</v>
      </c>
      <c r="J29">
        <v>8</v>
      </c>
      <c r="K29">
        <v>512</v>
      </c>
      <c r="L29">
        <v>1</v>
      </c>
      <c r="M29">
        <v>1.8699999999999999E-4</v>
      </c>
      <c r="N29">
        <v>1</v>
      </c>
      <c r="O29">
        <v>800</v>
      </c>
      <c r="P29">
        <v>1024</v>
      </c>
      <c r="Q29">
        <v>68.3</v>
      </c>
      <c r="R29">
        <v>126.2</v>
      </c>
      <c r="S29" t="s">
        <v>165</v>
      </c>
      <c r="T29" t="s">
        <v>194</v>
      </c>
    </row>
    <row r="30" spans="1:20" x14ac:dyDescent="0.6">
      <c r="A30" t="s">
        <v>33</v>
      </c>
      <c r="B30">
        <v>8</v>
      </c>
      <c r="C30">
        <v>1.4999999999999999E-2</v>
      </c>
      <c r="D30">
        <v>0.3</v>
      </c>
      <c r="E30">
        <v>0.1</v>
      </c>
      <c r="F30">
        <v>512</v>
      </c>
      <c r="G30">
        <v>20</v>
      </c>
      <c r="H30">
        <v>0</v>
      </c>
      <c r="I30">
        <v>8</v>
      </c>
      <c r="J30">
        <v>8</v>
      </c>
      <c r="K30">
        <v>512</v>
      </c>
      <c r="L30">
        <v>1</v>
      </c>
      <c r="M30">
        <v>1.9900000000000001E-4</v>
      </c>
      <c r="N30">
        <v>1</v>
      </c>
      <c r="O30">
        <v>800</v>
      </c>
      <c r="P30">
        <v>1024</v>
      </c>
      <c r="Q30">
        <v>51.2</v>
      </c>
      <c r="R30">
        <v>125.5</v>
      </c>
      <c r="S30" t="s">
        <v>165</v>
      </c>
      <c r="T30" t="s">
        <v>195</v>
      </c>
    </row>
    <row r="31" spans="1:20" x14ac:dyDescent="0.6">
      <c r="A31" t="s">
        <v>33</v>
      </c>
      <c r="B31">
        <v>8</v>
      </c>
      <c r="C31">
        <v>0.01</v>
      </c>
      <c r="D31">
        <v>0.3</v>
      </c>
      <c r="E31">
        <v>0.1</v>
      </c>
      <c r="F31">
        <v>512</v>
      </c>
      <c r="G31">
        <v>30</v>
      </c>
      <c r="H31">
        <v>0</v>
      </c>
      <c r="I31">
        <v>8</v>
      </c>
      <c r="J31">
        <v>8</v>
      </c>
      <c r="K31">
        <v>512</v>
      </c>
      <c r="L31">
        <v>1</v>
      </c>
      <c r="M31">
        <v>2.13E-4</v>
      </c>
      <c r="N31">
        <v>1</v>
      </c>
      <c r="O31">
        <v>800</v>
      </c>
      <c r="P31">
        <v>1024</v>
      </c>
      <c r="Q31">
        <v>34.1</v>
      </c>
      <c r="R31">
        <v>127</v>
      </c>
      <c r="S31" t="s">
        <v>165</v>
      </c>
      <c r="T31" t="s">
        <v>196</v>
      </c>
    </row>
    <row r="32" spans="1:20" x14ac:dyDescent="0.6">
      <c r="A32" t="s">
        <v>33</v>
      </c>
      <c r="B32">
        <v>8</v>
      </c>
      <c r="C32">
        <v>7.4999999999999997E-3</v>
      </c>
      <c r="D32">
        <v>0.3</v>
      </c>
      <c r="E32">
        <v>0.1</v>
      </c>
      <c r="F32">
        <v>512</v>
      </c>
      <c r="G32">
        <v>40</v>
      </c>
      <c r="H32">
        <v>0</v>
      </c>
      <c r="I32">
        <v>8</v>
      </c>
      <c r="J32">
        <v>8</v>
      </c>
      <c r="K32">
        <v>512</v>
      </c>
      <c r="L32">
        <v>1</v>
      </c>
      <c r="M32">
        <v>2.2699999999999999E-4</v>
      </c>
      <c r="N32">
        <v>1</v>
      </c>
      <c r="O32">
        <v>800</v>
      </c>
      <c r="P32">
        <v>1024</v>
      </c>
      <c r="Q32">
        <v>25.6</v>
      </c>
      <c r="R32">
        <v>127</v>
      </c>
      <c r="S32" t="s">
        <v>165</v>
      </c>
      <c r="T32" t="s">
        <v>197</v>
      </c>
    </row>
    <row r="33" spans="1:20" x14ac:dyDescent="0.6">
      <c r="A33" t="s">
        <v>33</v>
      </c>
      <c r="B33">
        <v>8</v>
      </c>
      <c r="C33">
        <v>5.0000000000000001E-3</v>
      </c>
      <c r="D33">
        <v>0.3</v>
      </c>
      <c r="E33">
        <v>0.1</v>
      </c>
      <c r="F33">
        <v>512</v>
      </c>
      <c r="G33">
        <v>60</v>
      </c>
      <c r="H33">
        <v>0</v>
      </c>
      <c r="I33">
        <v>8</v>
      </c>
      <c r="J33">
        <v>8</v>
      </c>
      <c r="K33">
        <v>512</v>
      </c>
      <c r="L33">
        <v>1</v>
      </c>
      <c r="M33">
        <v>2.8899999999999998E-4</v>
      </c>
      <c r="N33">
        <v>1</v>
      </c>
      <c r="O33">
        <v>800</v>
      </c>
      <c r="P33">
        <v>1024</v>
      </c>
      <c r="Q33">
        <v>17.100000000000001</v>
      </c>
      <c r="R33">
        <v>126.6</v>
      </c>
      <c r="S33" t="s">
        <v>165</v>
      </c>
      <c r="T33" t="s">
        <v>198</v>
      </c>
    </row>
    <row r="34" spans="1:20" x14ac:dyDescent="0.6">
      <c r="A34" t="s">
        <v>33</v>
      </c>
      <c r="B34">
        <v>8</v>
      </c>
      <c r="C34">
        <v>3.0000000000000001E-3</v>
      </c>
      <c r="D34">
        <v>0.3</v>
      </c>
      <c r="E34">
        <v>0.1</v>
      </c>
      <c r="F34">
        <v>512</v>
      </c>
      <c r="G34">
        <v>100</v>
      </c>
      <c r="H34">
        <v>0</v>
      </c>
      <c r="I34">
        <v>8</v>
      </c>
      <c r="J34">
        <v>8</v>
      </c>
      <c r="K34">
        <v>512</v>
      </c>
      <c r="L34">
        <v>1</v>
      </c>
      <c r="M34">
        <v>6.3100000000000005E-4</v>
      </c>
      <c r="N34">
        <v>1</v>
      </c>
      <c r="O34">
        <v>800</v>
      </c>
      <c r="P34">
        <v>1024</v>
      </c>
      <c r="Q34">
        <v>10.199999999999999</v>
      </c>
      <c r="R34">
        <v>126.9</v>
      </c>
      <c r="S34" t="s">
        <v>165</v>
      </c>
      <c r="T34" t="s">
        <v>199</v>
      </c>
    </row>
    <row r="35" spans="1:20" x14ac:dyDescent="0.6">
      <c r="A35" t="s">
        <v>33</v>
      </c>
      <c r="B35">
        <v>8</v>
      </c>
      <c r="C35">
        <v>2.5000000000000001E-3</v>
      </c>
      <c r="D35">
        <v>0.3</v>
      </c>
      <c r="E35">
        <v>0.1</v>
      </c>
      <c r="F35">
        <v>512</v>
      </c>
      <c r="G35">
        <v>120</v>
      </c>
      <c r="H35">
        <v>0</v>
      </c>
      <c r="I35">
        <v>8</v>
      </c>
      <c r="J35">
        <v>8</v>
      </c>
      <c r="K35">
        <v>512</v>
      </c>
      <c r="L35">
        <v>1</v>
      </c>
      <c r="M35">
        <v>8.9899999999999995E-4</v>
      </c>
      <c r="N35">
        <v>1</v>
      </c>
      <c r="O35">
        <v>800</v>
      </c>
      <c r="P35">
        <v>1024</v>
      </c>
      <c r="Q35">
        <v>8.5</v>
      </c>
      <c r="R35">
        <v>126.1</v>
      </c>
      <c r="S35" t="s">
        <v>165</v>
      </c>
      <c r="T35" t="s">
        <v>200</v>
      </c>
    </row>
    <row r="36" spans="1:20" x14ac:dyDescent="0.6">
      <c r="A36" t="s">
        <v>33</v>
      </c>
      <c r="B36">
        <v>8</v>
      </c>
      <c r="C36">
        <v>2E-3</v>
      </c>
      <c r="D36">
        <v>0.3</v>
      </c>
      <c r="E36">
        <v>0.1</v>
      </c>
      <c r="F36">
        <v>512</v>
      </c>
      <c r="G36">
        <v>150</v>
      </c>
      <c r="H36">
        <v>0</v>
      </c>
      <c r="I36">
        <v>8</v>
      </c>
      <c r="J36">
        <v>8</v>
      </c>
      <c r="K36">
        <v>512</v>
      </c>
      <c r="L36">
        <v>1</v>
      </c>
      <c r="M36">
        <v>1.474E-3</v>
      </c>
      <c r="N36">
        <v>1</v>
      </c>
      <c r="O36">
        <v>1280</v>
      </c>
      <c r="P36">
        <v>1280</v>
      </c>
      <c r="Q36">
        <v>8.5</v>
      </c>
      <c r="R36">
        <v>46.9</v>
      </c>
      <c r="S36" t="s">
        <v>165</v>
      </c>
      <c r="T36" t="s">
        <v>201</v>
      </c>
    </row>
    <row r="37" spans="1:20" x14ac:dyDescent="0.6">
      <c r="A37" t="s">
        <v>33</v>
      </c>
      <c r="B37">
        <v>8</v>
      </c>
      <c r="C37">
        <v>1.5E-3</v>
      </c>
      <c r="D37">
        <v>0.3</v>
      </c>
      <c r="E37">
        <v>0.1</v>
      </c>
      <c r="F37">
        <v>512</v>
      </c>
      <c r="G37">
        <v>200</v>
      </c>
      <c r="H37">
        <v>0</v>
      </c>
      <c r="I37">
        <v>8</v>
      </c>
      <c r="J37">
        <v>8</v>
      </c>
      <c r="K37">
        <v>512</v>
      </c>
      <c r="L37">
        <v>1</v>
      </c>
      <c r="M37">
        <v>0.23195499999999999</v>
      </c>
      <c r="N37">
        <v>0.9728</v>
      </c>
      <c r="O37">
        <v>1536</v>
      </c>
      <c r="P37">
        <v>1536</v>
      </c>
      <c r="Q37">
        <v>7.7</v>
      </c>
      <c r="R37">
        <v>46.7</v>
      </c>
      <c r="S37" t="s">
        <v>165</v>
      </c>
      <c r="T37" t="s">
        <v>202</v>
      </c>
    </row>
    <row r="38" spans="1:20" x14ac:dyDescent="0.6">
      <c r="A38" t="s">
        <v>33</v>
      </c>
      <c r="B38">
        <v>8</v>
      </c>
      <c r="C38">
        <v>1E-3</v>
      </c>
      <c r="D38">
        <v>0.3</v>
      </c>
      <c r="E38">
        <v>0.1</v>
      </c>
      <c r="F38">
        <v>512</v>
      </c>
      <c r="G38">
        <v>300</v>
      </c>
      <c r="H38">
        <v>0</v>
      </c>
      <c r="I38">
        <v>8</v>
      </c>
      <c r="J38">
        <v>8</v>
      </c>
      <c r="K38">
        <v>512</v>
      </c>
      <c r="L38">
        <v>1</v>
      </c>
      <c r="M38">
        <v>0.63607899999999995</v>
      </c>
      <c r="N38">
        <v>0.77159999999999995</v>
      </c>
      <c r="O38">
        <v>2048</v>
      </c>
      <c r="P38">
        <v>2048</v>
      </c>
      <c r="Q38">
        <v>6.8</v>
      </c>
      <c r="R38">
        <v>46.9</v>
      </c>
      <c r="S38" t="s">
        <v>203</v>
      </c>
      <c r="T38" t="s">
        <v>204</v>
      </c>
    </row>
    <row r="39" spans="1:20" x14ac:dyDescent="0.6">
      <c r="A39" t="s">
        <v>33</v>
      </c>
      <c r="B39">
        <v>8</v>
      </c>
      <c r="C39">
        <v>7.5000000000000002E-4</v>
      </c>
      <c r="D39">
        <v>0.3</v>
      </c>
      <c r="E39">
        <v>0.1</v>
      </c>
      <c r="F39">
        <v>512</v>
      </c>
      <c r="G39">
        <v>400</v>
      </c>
      <c r="H39">
        <v>0</v>
      </c>
      <c r="I39">
        <v>8</v>
      </c>
      <c r="J39">
        <v>8</v>
      </c>
      <c r="K39">
        <v>512</v>
      </c>
      <c r="L39">
        <v>1</v>
      </c>
      <c r="M39">
        <v>0.77505599999999997</v>
      </c>
      <c r="N39">
        <v>0.63200000000000001</v>
      </c>
      <c r="O39">
        <v>2816</v>
      </c>
      <c r="P39">
        <v>2816</v>
      </c>
      <c r="Q39">
        <v>7</v>
      </c>
      <c r="R39">
        <v>47</v>
      </c>
      <c r="S39" t="s">
        <v>203</v>
      </c>
      <c r="T39" t="s">
        <v>205</v>
      </c>
    </row>
    <row r="40" spans="1:20" x14ac:dyDescent="0.6">
      <c r="A40" t="s">
        <v>33</v>
      </c>
      <c r="B40">
        <v>8</v>
      </c>
      <c r="C40">
        <v>5.0000000000000001E-4</v>
      </c>
      <c r="D40">
        <v>0.3</v>
      </c>
      <c r="E40">
        <v>0.1</v>
      </c>
      <c r="F40">
        <v>512</v>
      </c>
      <c r="G40">
        <v>600</v>
      </c>
      <c r="H40">
        <v>0</v>
      </c>
      <c r="I40">
        <v>8</v>
      </c>
      <c r="J40">
        <v>8</v>
      </c>
      <c r="K40">
        <v>512</v>
      </c>
      <c r="L40">
        <v>1</v>
      </c>
      <c r="M40">
        <v>3.6128179999999999</v>
      </c>
      <c r="N40">
        <v>6.6500000000000004E-2</v>
      </c>
      <c r="O40">
        <v>4096</v>
      </c>
      <c r="P40">
        <v>4096</v>
      </c>
      <c r="Q40">
        <v>6.8</v>
      </c>
      <c r="R40">
        <v>46.6</v>
      </c>
      <c r="S40" t="s">
        <v>179</v>
      </c>
      <c r="T40" t="s">
        <v>206</v>
      </c>
    </row>
    <row r="41" spans="1:20" x14ac:dyDescent="0.6">
      <c r="A41" t="s">
        <v>33</v>
      </c>
      <c r="B41">
        <v>8</v>
      </c>
      <c r="C41">
        <v>4.0000000000000002E-4</v>
      </c>
      <c r="D41">
        <v>0.3</v>
      </c>
      <c r="E41">
        <v>0.1</v>
      </c>
      <c r="F41">
        <v>512</v>
      </c>
      <c r="G41">
        <v>750</v>
      </c>
      <c r="H41">
        <v>0</v>
      </c>
      <c r="I41">
        <v>8</v>
      </c>
      <c r="J41">
        <v>8</v>
      </c>
      <c r="K41">
        <v>512</v>
      </c>
      <c r="L41">
        <v>1</v>
      </c>
      <c r="M41">
        <v>3.6772749999999998</v>
      </c>
      <c r="N41">
        <v>4.8599999999999997E-2</v>
      </c>
      <c r="O41">
        <v>5120</v>
      </c>
      <c r="P41">
        <v>5120</v>
      </c>
      <c r="Q41">
        <v>6.8</v>
      </c>
      <c r="R41">
        <v>129.6</v>
      </c>
      <c r="S41" t="s">
        <v>179</v>
      </c>
      <c r="T41" t="s">
        <v>207</v>
      </c>
    </row>
    <row r="42" spans="1:20" x14ac:dyDescent="0.6">
      <c r="A42" t="s">
        <v>33</v>
      </c>
      <c r="B42">
        <v>8</v>
      </c>
      <c r="C42">
        <v>2.9999999999999997E-4</v>
      </c>
      <c r="D42">
        <v>0.3</v>
      </c>
      <c r="E42">
        <v>0.1</v>
      </c>
      <c r="F42">
        <v>512</v>
      </c>
      <c r="G42">
        <v>1000</v>
      </c>
      <c r="H42">
        <v>0</v>
      </c>
      <c r="I42">
        <v>8</v>
      </c>
      <c r="J42">
        <v>8</v>
      </c>
      <c r="K42">
        <v>512</v>
      </c>
      <c r="L42">
        <v>1</v>
      </c>
      <c r="M42">
        <v>3.5455450000000002</v>
      </c>
      <c r="N42">
        <v>3.49E-2</v>
      </c>
      <c r="O42">
        <v>6912</v>
      </c>
      <c r="P42">
        <v>6912</v>
      </c>
      <c r="Q42">
        <v>6.9</v>
      </c>
      <c r="R42">
        <v>126.3</v>
      </c>
      <c r="S42" t="s">
        <v>179</v>
      </c>
      <c r="T42" t="s">
        <v>208</v>
      </c>
    </row>
    <row r="43" spans="1:20" x14ac:dyDescent="0.6">
      <c r="A43" t="s">
        <v>33</v>
      </c>
      <c r="B43">
        <v>8</v>
      </c>
      <c r="C43">
        <v>2.5000000000000001E-4</v>
      </c>
      <c r="D43">
        <v>0.3</v>
      </c>
      <c r="E43">
        <v>0.1</v>
      </c>
      <c r="F43">
        <v>512</v>
      </c>
      <c r="G43">
        <v>1200</v>
      </c>
      <c r="H43">
        <v>0</v>
      </c>
      <c r="I43">
        <v>8</v>
      </c>
      <c r="J43">
        <v>8</v>
      </c>
      <c r="K43">
        <v>512</v>
      </c>
      <c r="L43">
        <v>1</v>
      </c>
      <c r="M43">
        <v>3.0083120000000001</v>
      </c>
      <c r="N43">
        <v>3.2199999999999999E-2</v>
      </c>
      <c r="O43">
        <v>8192</v>
      </c>
      <c r="P43">
        <v>8192</v>
      </c>
      <c r="Q43">
        <v>6.8</v>
      </c>
      <c r="R43">
        <v>129.9</v>
      </c>
      <c r="S43" t="s">
        <v>179</v>
      </c>
      <c r="T43" t="s">
        <v>209</v>
      </c>
    </row>
    <row r="44" spans="1:20" x14ac:dyDescent="0.6">
      <c r="A44" t="s">
        <v>33</v>
      </c>
      <c r="B44">
        <v>8</v>
      </c>
      <c r="C44">
        <v>2.0000000000000001E-4</v>
      </c>
      <c r="D44">
        <v>0.3</v>
      </c>
      <c r="E44">
        <v>0.1</v>
      </c>
      <c r="F44">
        <v>512</v>
      </c>
      <c r="G44">
        <v>1500</v>
      </c>
      <c r="H44">
        <v>0</v>
      </c>
      <c r="I44">
        <v>8</v>
      </c>
      <c r="J44">
        <v>8</v>
      </c>
      <c r="K44">
        <v>512</v>
      </c>
      <c r="L44">
        <v>1</v>
      </c>
      <c r="M44">
        <v>3.3253349999999999</v>
      </c>
      <c r="N44">
        <v>2.4799999999999999E-2</v>
      </c>
      <c r="O44">
        <v>10240</v>
      </c>
      <c r="P44">
        <v>10240</v>
      </c>
      <c r="Q44">
        <v>6.8</v>
      </c>
      <c r="R44">
        <v>128.5</v>
      </c>
      <c r="S44" t="s">
        <v>179</v>
      </c>
      <c r="T44" t="s">
        <v>210</v>
      </c>
    </row>
    <row r="45" spans="1:20" x14ac:dyDescent="0.6">
      <c r="A45" t="s">
        <v>33</v>
      </c>
      <c r="B45">
        <v>8</v>
      </c>
      <c r="C45">
        <v>1.4999999999999999E-4</v>
      </c>
      <c r="D45">
        <v>0.3</v>
      </c>
      <c r="E45">
        <v>0.1</v>
      </c>
      <c r="F45">
        <v>512</v>
      </c>
      <c r="G45">
        <v>2000</v>
      </c>
      <c r="H45">
        <v>0</v>
      </c>
      <c r="I45">
        <v>8</v>
      </c>
      <c r="J45">
        <v>8</v>
      </c>
      <c r="K45">
        <v>512</v>
      </c>
      <c r="L45">
        <v>1</v>
      </c>
      <c r="M45">
        <v>2.6055009999999998</v>
      </c>
      <c r="N45">
        <v>2.1000000000000001E-2</v>
      </c>
      <c r="O45">
        <v>13568</v>
      </c>
      <c r="P45">
        <v>13568</v>
      </c>
      <c r="Q45">
        <v>6.8</v>
      </c>
      <c r="R45">
        <v>128.30000000000001</v>
      </c>
      <c r="S45" t="s">
        <v>179</v>
      </c>
      <c r="T45" t="s">
        <v>211</v>
      </c>
    </row>
    <row r="46" spans="1:20" x14ac:dyDescent="0.6">
      <c r="A46" t="s">
        <v>33</v>
      </c>
      <c r="B46">
        <v>8</v>
      </c>
      <c r="C46">
        <v>0.15</v>
      </c>
      <c r="D46">
        <v>0.3</v>
      </c>
      <c r="E46">
        <v>0.1</v>
      </c>
      <c r="F46">
        <v>512</v>
      </c>
      <c r="G46">
        <v>2</v>
      </c>
      <c r="H46">
        <v>0</v>
      </c>
      <c r="I46">
        <v>16</v>
      </c>
      <c r="J46">
        <v>8</v>
      </c>
      <c r="K46">
        <v>512</v>
      </c>
      <c r="L46">
        <v>1</v>
      </c>
      <c r="M46">
        <v>9.0000000000000006E-5</v>
      </c>
      <c r="N46">
        <v>1</v>
      </c>
      <c r="O46">
        <v>800</v>
      </c>
      <c r="P46">
        <v>1024</v>
      </c>
      <c r="Q46">
        <v>512</v>
      </c>
      <c r="R46">
        <v>125.6</v>
      </c>
      <c r="S46" t="s">
        <v>165</v>
      </c>
      <c r="T46" t="s">
        <v>212</v>
      </c>
    </row>
    <row r="47" spans="1:20" x14ac:dyDescent="0.6">
      <c r="A47" t="s">
        <v>33</v>
      </c>
      <c r="B47">
        <v>8</v>
      </c>
      <c r="C47">
        <v>0.12</v>
      </c>
      <c r="D47">
        <v>0.3</v>
      </c>
      <c r="E47">
        <v>0.1</v>
      </c>
      <c r="F47">
        <v>512</v>
      </c>
      <c r="G47">
        <v>2.5</v>
      </c>
      <c r="H47">
        <v>0</v>
      </c>
      <c r="I47">
        <v>16</v>
      </c>
      <c r="J47">
        <v>8</v>
      </c>
      <c r="K47">
        <v>512</v>
      </c>
      <c r="L47">
        <v>1</v>
      </c>
      <c r="M47">
        <v>1.03E-4</v>
      </c>
      <c r="N47">
        <v>1</v>
      </c>
      <c r="O47">
        <v>800</v>
      </c>
      <c r="P47">
        <v>1024</v>
      </c>
      <c r="Q47">
        <v>409.6</v>
      </c>
      <c r="R47">
        <v>127.3</v>
      </c>
      <c r="S47" t="s">
        <v>165</v>
      </c>
      <c r="T47" t="s">
        <v>213</v>
      </c>
    </row>
    <row r="48" spans="1:20" x14ac:dyDescent="0.6">
      <c r="A48" t="s">
        <v>33</v>
      </c>
      <c r="B48">
        <v>8</v>
      </c>
      <c r="C48">
        <v>0.08</v>
      </c>
      <c r="D48">
        <v>0.3</v>
      </c>
      <c r="E48">
        <v>0.1</v>
      </c>
      <c r="F48">
        <v>512</v>
      </c>
      <c r="G48">
        <v>3.8</v>
      </c>
      <c r="H48">
        <v>0</v>
      </c>
      <c r="I48">
        <v>16</v>
      </c>
      <c r="J48">
        <v>8</v>
      </c>
      <c r="K48">
        <v>512</v>
      </c>
      <c r="L48">
        <v>1</v>
      </c>
      <c r="M48">
        <v>1.2300000000000001E-4</v>
      </c>
      <c r="N48">
        <v>1</v>
      </c>
      <c r="O48">
        <v>800</v>
      </c>
      <c r="P48">
        <v>1024</v>
      </c>
      <c r="Q48">
        <v>273.10000000000002</v>
      </c>
      <c r="R48">
        <v>126.9</v>
      </c>
      <c r="S48" t="s">
        <v>165</v>
      </c>
      <c r="T48" t="s">
        <v>214</v>
      </c>
    </row>
    <row r="49" spans="1:20" x14ac:dyDescent="0.6">
      <c r="A49" t="s">
        <v>33</v>
      </c>
      <c r="B49">
        <v>8</v>
      </c>
      <c r="C49">
        <v>0.05</v>
      </c>
      <c r="D49">
        <v>0.3</v>
      </c>
      <c r="E49">
        <v>0.1</v>
      </c>
      <c r="F49">
        <v>512</v>
      </c>
      <c r="G49">
        <v>6</v>
      </c>
      <c r="H49">
        <v>0</v>
      </c>
      <c r="I49">
        <v>16</v>
      </c>
      <c r="J49">
        <v>8</v>
      </c>
      <c r="K49">
        <v>512</v>
      </c>
      <c r="L49">
        <v>1</v>
      </c>
      <c r="M49">
        <v>1.44E-4</v>
      </c>
      <c r="N49">
        <v>1</v>
      </c>
      <c r="O49">
        <v>800</v>
      </c>
      <c r="P49">
        <v>1024</v>
      </c>
      <c r="Q49">
        <v>170.7</v>
      </c>
      <c r="R49">
        <v>126.3</v>
      </c>
      <c r="S49" t="s">
        <v>165</v>
      </c>
      <c r="T49" t="s">
        <v>215</v>
      </c>
    </row>
    <row r="50" spans="1:20" x14ac:dyDescent="0.6">
      <c r="A50" t="s">
        <v>33</v>
      </c>
      <c r="B50">
        <v>8</v>
      </c>
      <c r="C50">
        <v>0.03</v>
      </c>
      <c r="D50">
        <v>0.3</v>
      </c>
      <c r="E50">
        <v>0.1</v>
      </c>
      <c r="F50">
        <v>512</v>
      </c>
      <c r="G50">
        <v>10</v>
      </c>
      <c r="H50">
        <v>0</v>
      </c>
      <c r="I50">
        <v>16</v>
      </c>
      <c r="J50">
        <v>8</v>
      </c>
      <c r="K50">
        <v>512</v>
      </c>
      <c r="L50">
        <v>1</v>
      </c>
      <c r="M50">
        <v>1.6899999999999999E-4</v>
      </c>
      <c r="N50">
        <v>1</v>
      </c>
      <c r="O50">
        <v>800</v>
      </c>
      <c r="P50">
        <v>1024</v>
      </c>
      <c r="Q50">
        <v>102.4</v>
      </c>
      <c r="R50">
        <v>126.8</v>
      </c>
      <c r="S50" t="s">
        <v>165</v>
      </c>
      <c r="T50" t="s">
        <v>216</v>
      </c>
    </row>
    <row r="51" spans="1:20" x14ac:dyDescent="0.6">
      <c r="A51" t="s">
        <v>33</v>
      </c>
      <c r="B51">
        <v>8</v>
      </c>
      <c r="C51">
        <v>0.02</v>
      </c>
      <c r="D51">
        <v>0.3</v>
      </c>
      <c r="E51">
        <v>0.1</v>
      </c>
      <c r="F51">
        <v>512</v>
      </c>
      <c r="G51">
        <v>15</v>
      </c>
      <c r="H51">
        <v>0</v>
      </c>
      <c r="I51">
        <v>16</v>
      </c>
      <c r="J51">
        <v>8</v>
      </c>
      <c r="K51">
        <v>512</v>
      </c>
      <c r="L51">
        <v>1</v>
      </c>
      <c r="M51">
        <v>1.8699999999999999E-4</v>
      </c>
      <c r="N51">
        <v>1</v>
      </c>
      <c r="O51">
        <v>800</v>
      </c>
      <c r="P51">
        <v>1024</v>
      </c>
      <c r="Q51">
        <v>68.3</v>
      </c>
      <c r="R51">
        <v>126</v>
      </c>
      <c r="S51" t="s">
        <v>165</v>
      </c>
      <c r="T51" t="s">
        <v>217</v>
      </c>
    </row>
    <row r="52" spans="1:20" x14ac:dyDescent="0.6">
      <c r="A52" t="s">
        <v>33</v>
      </c>
      <c r="B52">
        <v>8</v>
      </c>
      <c r="C52">
        <v>1.4999999999999999E-2</v>
      </c>
      <c r="D52">
        <v>0.3</v>
      </c>
      <c r="E52">
        <v>0.1</v>
      </c>
      <c r="F52">
        <v>512</v>
      </c>
      <c r="G52">
        <v>20</v>
      </c>
      <c r="H52">
        <v>0</v>
      </c>
      <c r="I52">
        <v>16</v>
      </c>
      <c r="J52">
        <v>8</v>
      </c>
      <c r="K52">
        <v>512</v>
      </c>
      <c r="L52">
        <v>1</v>
      </c>
      <c r="M52">
        <v>1.9900000000000001E-4</v>
      </c>
      <c r="N52">
        <v>1</v>
      </c>
      <c r="O52">
        <v>800</v>
      </c>
      <c r="P52">
        <v>1024</v>
      </c>
      <c r="Q52">
        <v>51.2</v>
      </c>
      <c r="R52">
        <v>126.5</v>
      </c>
      <c r="S52" t="s">
        <v>165</v>
      </c>
      <c r="T52" t="s">
        <v>218</v>
      </c>
    </row>
    <row r="53" spans="1:20" x14ac:dyDescent="0.6">
      <c r="A53" t="s">
        <v>33</v>
      </c>
      <c r="B53">
        <v>8</v>
      </c>
      <c r="C53">
        <v>0.01</v>
      </c>
      <c r="D53">
        <v>0.3</v>
      </c>
      <c r="E53">
        <v>0.1</v>
      </c>
      <c r="F53">
        <v>512</v>
      </c>
      <c r="G53">
        <v>30</v>
      </c>
      <c r="H53">
        <v>0</v>
      </c>
      <c r="I53">
        <v>16</v>
      </c>
      <c r="J53">
        <v>8</v>
      </c>
      <c r="K53">
        <v>512</v>
      </c>
      <c r="L53">
        <v>1</v>
      </c>
      <c r="M53">
        <v>2.13E-4</v>
      </c>
      <c r="N53">
        <v>1</v>
      </c>
      <c r="O53">
        <v>800</v>
      </c>
      <c r="P53">
        <v>1024</v>
      </c>
      <c r="Q53">
        <v>34.1</v>
      </c>
      <c r="R53">
        <v>126.8</v>
      </c>
      <c r="S53" t="s">
        <v>165</v>
      </c>
      <c r="T53" t="s">
        <v>219</v>
      </c>
    </row>
    <row r="54" spans="1:20" x14ac:dyDescent="0.6">
      <c r="A54" t="s">
        <v>33</v>
      </c>
      <c r="B54">
        <v>8</v>
      </c>
      <c r="C54">
        <v>7.4999999999999997E-3</v>
      </c>
      <c r="D54">
        <v>0.3</v>
      </c>
      <c r="E54">
        <v>0.1</v>
      </c>
      <c r="F54">
        <v>512</v>
      </c>
      <c r="G54">
        <v>40</v>
      </c>
      <c r="H54">
        <v>0</v>
      </c>
      <c r="I54">
        <v>16</v>
      </c>
      <c r="J54">
        <v>8</v>
      </c>
      <c r="K54">
        <v>512</v>
      </c>
      <c r="L54">
        <v>1</v>
      </c>
      <c r="M54">
        <v>2.2699999999999999E-4</v>
      </c>
      <c r="N54">
        <v>1</v>
      </c>
      <c r="O54">
        <v>800</v>
      </c>
      <c r="P54">
        <v>1024</v>
      </c>
      <c r="Q54">
        <v>25.6</v>
      </c>
      <c r="R54">
        <v>124.4</v>
      </c>
      <c r="S54" t="s">
        <v>165</v>
      </c>
      <c r="T54" t="s">
        <v>220</v>
      </c>
    </row>
    <row r="55" spans="1:20" x14ac:dyDescent="0.6">
      <c r="A55" t="s">
        <v>33</v>
      </c>
      <c r="B55">
        <v>8</v>
      </c>
      <c r="C55">
        <v>5.0000000000000001E-3</v>
      </c>
      <c r="D55">
        <v>0.3</v>
      </c>
      <c r="E55">
        <v>0.1</v>
      </c>
      <c r="F55">
        <v>512</v>
      </c>
      <c r="G55">
        <v>60</v>
      </c>
      <c r="H55">
        <v>0</v>
      </c>
      <c r="I55">
        <v>16</v>
      </c>
      <c r="J55">
        <v>8</v>
      </c>
      <c r="K55">
        <v>512</v>
      </c>
      <c r="L55">
        <v>1</v>
      </c>
      <c r="M55">
        <v>2.8899999999999998E-4</v>
      </c>
      <c r="N55">
        <v>1</v>
      </c>
      <c r="O55">
        <v>800</v>
      </c>
      <c r="P55">
        <v>1024</v>
      </c>
      <c r="Q55">
        <v>17.100000000000001</v>
      </c>
      <c r="R55">
        <v>126.5</v>
      </c>
      <c r="S55" t="s">
        <v>165</v>
      </c>
      <c r="T55" t="s">
        <v>221</v>
      </c>
    </row>
    <row r="56" spans="1:20" x14ac:dyDescent="0.6">
      <c r="A56" t="s">
        <v>33</v>
      </c>
      <c r="B56">
        <v>8</v>
      </c>
      <c r="C56">
        <v>3.0000000000000001E-3</v>
      </c>
      <c r="D56">
        <v>0.3</v>
      </c>
      <c r="E56">
        <v>0.1</v>
      </c>
      <c r="F56">
        <v>512</v>
      </c>
      <c r="G56">
        <v>100</v>
      </c>
      <c r="H56">
        <v>0</v>
      </c>
      <c r="I56">
        <v>16</v>
      </c>
      <c r="J56">
        <v>8</v>
      </c>
      <c r="K56">
        <v>512</v>
      </c>
      <c r="L56">
        <v>1</v>
      </c>
      <c r="M56">
        <v>6.3100000000000005E-4</v>
      </c>
      <c r="N56">
        <v>1</v>
      </c>
      <c r="O56">
        <v>800</v>
      </c>
      <c r="P56">
        <v>1024</v>
      </c>
      <c r="Q56">
        <v>10.199999999999999</v>
      </c>
      <c r="R56">
        <v>127.1</v>
      </c>
      <c r="S56" t="s">
        <v>165</v>
      </c>
      <c r="T56" t="s">
        <v>222</v>
      </c>
    </row>
    <row r="57" spans="1:20" x14ac:dyDescent="0.6">
      <c r="A57" t="s">
        <v>33</v>
      </c>
      <c r="B57">
        <v>8</v>
      </c>
      <c r="C57">
        <v>2.5000000000000001E-3</v>
      </c>
      <c r="D57">
        <v>0.3</v>
      </c>
      <c r="E57">
        <v>0.1</v>
      </c>
      <c r="F57">
        <v>512</v>
      </c>
      <c r="G57">
        <v>120</v>
      </c>
      <c r="H57">
        <v>0</v>
      </c>
      <c r="I57">
        <v>16</v>
      </c>
      <c r="J57">
        <v>8</v>
      </c>
      <c r="K57">
        <v>512</v>
      </c>
      <c r="L57">
        <v>1</v>
      </c>
      <c r="M57">
        <v>8.9899999999999995E-4</v>
      </c>
      <c r="N57">
        <v>1</v>
      </c>
      <c r="O57">
        <v>800</v>
      </c>
      <c r="P57">
        <v>1024</v>
      </c>
      <c r="Q57">
        <v>8.5</v>
      </c>
      <c r="R57">
        <v>126.7</v>
      </c>
      <c r="S57" t="s">
        <v>165</v>
      </c>
      <c r="T57" t="s">
        <v>223</v>
      </c>
    </row>
    <row r="58" spans="1:20" x14ac:dyDescent="0.6">
      <c r="A58" t="s">
        <v>33</v>
      </c>
      <c r="B58">
        <v>8</v>
      </c>
      <c r="C58">
        <v>2E-3</v>
      </c>
      <c r="D58">
        <v>0.3</v>
      </c>
      <c r="E58">
        <v>0.1</v>
      </c>
      <c r="F58">
        <v>512</v>
      </c>
      <c r="G58">
        <v>150</v>
      </c>
      <c r="H58">
        <v>0</v>
      </c>
      <c r="I58">
        <v>16</v>
      </c>
      <c r="J58">
        <v>8</v>
      </c>
      <c r="K58">
        <v>512</v>
      </c>
      <c r="L58">
        <v>1</v>
      </c>
      <c r="M58">
        <v>1.47E-3</v>
      </c>
      <c r="N58">
        <v>1</v>
      </c>
      <c r="O58">
        <v>1280</v>
      </c>
      <c r="P58">
        <v>1280</v>
      </c>
      <c r="Q58">
        <v>8.5</v>
      </c>
      <c r="R58">
        <v>46.8</v>
      </c>
      <c r="S58" t="s">
        <v>165</v>
      </c>
      <c r="T58" t="s">
        <v>224</v>
      </c>
    </row>
    <row r="59" spans="1:20" x14ac:dyDescent="0.6">
      <c r="A59" t="s">
        <v>33</v>
      </c>
      <c r="B59">
        <v>8</v>
      </c>
      <c r="C59">
        <v>1.5E-3</v>
      </c>
      <c r="D59">
        <v>0.3</v>
      </c>
      <c r="E59">
        <v>0.1</v>
      </c>
      <c r="F59">
        <v>512</v>
      </c>
      <c r="G59">
        <v>200</v>
      </c>
      <c r="H59">
        <v>0</v>
      </c>
      <c r="I59">
        <v>16</v>
      </c>
      <c r="J59">
        <v>8</v>
      </c>
      <c r="K59">
        <v>512</v>
      </c>
      <c r="L59">
        <v>1</v>
      </c>
      <c r="M59">
        <v>0.231629</v>
      </c>
      <c r="N59">
        <v>0.97289999999999999</v>
      </c>
      <c r="O59">
        <v>1536</v>
      </c>
      <c r="P59">
        <v>1536</v>
      </c>
      <c r="Q59">
        <v>7.7</v>
      </c>
      <c r="R59">
        <v>46.7</v>
      </c>
      <c r="S59" t="s">
        <v>165</v>
      </c>
      <c r="T59" t="s">
        <v>225</v>
      </c>
    </row>
    <row r="60" spans="1:20" x14ac:dyDescent="0.6">
      <c r="A60" t="s">
        <v>33</v>
      </c>
      <c r="B60">
        <v>8</v>
      </c>
      <c r="C60">
        <v>1E-3</v>
      </c>
      <c r="D60">
        <v>0.3</v>
      </c>
      <c r="E60">
        <v>0.1</v>
      </c>
      <c r="F60">
        <v>512</v>
      </c>
      <c r="G60">
        <v>300</v>
      </c>
      <c r="H60">
        <v>0</v>
      </c>
      <c r="I60">
        <v>16</v>
      </c>
      <c r="J60">
        <v>8</v>
      </c>
      <c r="K60">
        <v>512</v>
      </c>
      <c r="L60">
        <v>1</v>
      </c>
      <c r="M60">
        <v>0.63429599999999997</v>
      </c>
      <c r="N60">
        <v>0.77310000000000001</v>
      </c>
      <c r="O60">
        <v>2048</v>
      </c>
      <c r="P60">
        <v>2048</v>
      </c>
      <c r="Q60">
        <v>6.8</v>
      </c>
      <c r="R60">
        <v>46</v>
      </c>
      <c r="S60" t="s">
        <v>203</v>
      </c>
      <c r="T60" t="s">
        <v>226</v>
      </c>
    </row>
    <row r="61" spans="1:20" x14ac:dyDescent="0.6">
      <c r="A61" t="s">
        <v>33</v>
      </c>
      <c r="B61">
        <v>8</v>
      </c>
      <c r="C61">
        <v>7.5000000000000002E-4</v>
      </c>
      <c r="D61">
        <v>0.3</v>
      </c>
      <c r="E61">
        <v>0.1</v>
      </c>
      <c r="F61">
        <v>512</v>
      </c>
      <c r="G61">
        <v>400</v>
      </c>
      <c r="H61">
        <v>0</v>
      </c>
      <c r="I61">
        <v>16</v>
      </c>
      <c r="J61">
        <v>8</v>
      </c>
      <c r="K61">
        <v>512</v>
      </c>
      <c r="L61">
        <v>1</v>
      </c>
      <c r="M61">
        <v>0.77666900000000005</v>
      </c>
      <c r="N61">
        <v>0.63009999999999999</v>
      </c>
      <c r="O61">
        <v>2816</v>
      </c>
      <c r="P61">
        <v>2816</v>
      </c>
      <c r="Q61">
        <v>7</v>
      </c>
      <c r="R61">
        <v>46.7</v>
      </c>
      <c r="S61" t="s">
        <v>203</v>
      </c>
      <c r="T61" t="s">
        <v>227</v>
      </c>
    </row>
    <row r="62" spans="1:20" x14ac:dyDescent="0.6">
      <c r="A62" t="s">
        <v>33</v>
      </c>
      <c r="B62">
        <v>8</v>
      </c>
      <c r="C62">
        <v>5.0000000000000001E-4</v>
      </c>
      <c r="D62">
        <v>0.3</v>
      </c>
      <c r="E62">
        <v>0.1</v>
      </c>
      <c r="F62">
        <v>512</v>
      </c>
      <c r="G62">
        <v>600</v>
      </c>
      <c r="H62">
        <v>0</v>
      </c>
      <c r="I62">
        <v>16</v>
      </c>
      <c r="J62">
        <v>8</v>
      </c>
      <c r="K62">
        <v>512</v>
      </c>
      <c r="L62">
        <v>1</v>
      </c>
      <c r="M62">
        <v>3.6192760000000002</v>
      </c>
      <c r="N62">
        <v>6.6299999999999998E-2</v>
      </c>
      <c r="O62">
        <v>4096</v>
      </c>
      <c r="P62">
        <v>4096</v>
      </c>
      <c r="Q62">
        <v>6.8</v>
      </c>
      <c r="R62">
        <v>46.6</v>
      </c>
      <c r="S62" t="s">
        <v>179</v>
      </c>
      <c r="T62" t="s">
        <v>228</v>
      </c>
    </row>
    <row r="63" spans="1:20" x14ac:dyDescent="0.6">
      <c r="A63" t="s">
        <v>33</v>
      </c>
      <c r="B63">
        <v>8</v>
      </c>
      <c r="C63">
        <v>4.0000000000000002E-4</v>
      </c>
      <c r="D63">
        <v>0.3</v>
      </c>
      <c r="E63">
        <v>0.1</v>
      </c>
      <c r="F63">
        <v>512</v>
      </c>
      <c r="G63">
        <v>750</v>
      </c>
      <c r="H63">
        <v>0</v>
      </c>
      <c r="I63">
        <v>16</v>
      </c>
      <c r="J63">
        <v>8</v>
      </c>
      <c r="K63">
        <v>512</v>
      </c>
      <c r="L63">
        <v>1</v>
      </c>
      <c r="M63">
        <v>3.693238</v>
      </c>
      <c r="N63">
        <v>4.8599999999999997E-2</v>
      </c>
      <c r="O63">
        <v>5120</v>
      </c>
      <c r="P63">
        <v>5120</v>
      </c>
      <c r="Q63">
        <v>6.8</v>
      </c>
      <c r="R63">
        <v>127.2</v>
      </c>
      <c r="S63" t="s">
        <v>179</v>
      </c>
      <c r="T63" t="s">
        <v>229</v>
      </c>
    </row>
    <row r="64" spans="1:20" x14ac:dyDescent="0.6">
      <c r="A64" t="s">
        <v>33</v>
      </c>
      <c r="B64">
        <v>8</v>
      </c>
      <c r="C64">
        <v>2.9999999999999997E-4</v>
      </c>
      <c r="D64">
        <v>0.3</v>
      </c>
      <c r="E64">
        <v>0.1</v>
      </c>
      <c r="F64">
        <v>512</v>
      </c>
      <c r="G64">
        <v>1000</v>
      </c>
      <c r="H64">
        <v>0</v>
      </c>
      <c r="I64">
        <v>16</v>
      </c>
      <c r="J64">
        <v>8</v>
      </c>
      <c r="K64">
        <v>512</v>
      </c>
      <c r="L64">
        <v>1</v>
      </c>
      <c r="M64">
        <v>4.0904170000000004</v>
      </c>
      <c r="N64">
        <v>3.3000000000000002E-2</v>
      </c>
      <c r="O64">
        <v>6912</v>
      </c>
      <c r="P64">
        <v>6912</v>
      </c>
      <c r="Q64">
        <v>6.9</v>
      </c>
      <c r="R64">
        <v>126.7</v>
      </c>
      <c r="S64" t="s">
        <v>179</v>
      </c>
      <c r="T64" t="s">
        <v>230</v>
      </c>
    </row>
    <row r="65" spans="1:20" x14ac:dyDescent="0.6">
      <c r="A65" t="s">
        <v>33</v>
      </c>
      <c r="B65">
        <v>8</v>
      </c>
      <c r="C65">
        <v>2.5000000000000001E-4</v>
      </c>
      <c r="D65">
        <v>0.3</v>
      </c>
      <c r="E65">
        <v>0.1</v>
      </c>
      <c r="F65">
        <v>512</v>
      </c>
      <c r="G65">
        <v>1200</v>
      </c>
      <c r="H65">
        <v>0</v>
      </c>
      <c r="I65">
        <v>16</v>
      </c>
      <c r="J65">
        <v>8</v>
      </c>
      <c r="K65">
        <v>512</v>
      </c>
      <c r="L65">
        <v>1</v>
      </c>
      <c r="M65">
        <v>3.460696</v>
      </c>
      <c r="N65">
        <v>2.8899999999999999E-2</v>
      </c>
      <c r="O65">
        <v>8192</v>
      </c>
      <c r="P65">
        <v>8192</v>
      </c>
      <c r="Q65">
        <v>6.8</v>
      </c>
      <c r="R65">
        <v>129.6</v>
      </c>
      <c r="S65" t="s">
        <v>179</v>
      </c>
      <c r="T65" t="s">
        <v>231</v>
      </c>
    </row>
    <row r="66" spans="1:20" x14ac:dyDescent="0.6">
      <c r="A66" t="s">
        <v>33</v>
      </c>
      <c r="B66">
        <v>8</v>
      </c>
      <c r="C66">
        <v>2.0000000000000001E-4</v>
      </c>
      <c r="D66">
        <v>0.3</v>
      </c>
      <c r="E66">
        <v>0.1</v>
      </c>
      <c r="F66">
        <v>512</v>
      </c>
      <c r="G66">
        <v>1500</v>
      </c>
      <c r="H66">
        <v>0</v>
      </c>
      <c r="I66">
        <v>16</v>
      </c>
      <c r="J66">
        <v>8</v>
      </c>
      <c r="K66">
        <v>512</v>
      </c>
      <c r="L66">
        <v>1</v>
      </c>
      <c r="M66">
        <v>3.322622</v>
      </c>
      <c r="N66">
        <v>2.5100000000000001E-2</v>
      </c>
      <c r="O66">
        <v>10240</v>
      </c>
      <c r="P66">
        <v>10240</v>
      </c>
      <c r="Q66">
        <v>6.8</v>
      </c>
      <c r="R66">
        <v>127.9</v>
      </c>
      <c r="S66" t="s">
        <v>179</v>
      </c>
      <c r="T66" t="s">
        <v>232</v>
      </c>
    </row>
    <row r="67" spans="1:20" x14ac:dyDescent="0.6">
      <c r="A67" t="s">
        <v>33</v>
      </c>
      <c r="B67">
        <v>8</v>
      </c>
      <c r="C67">
        <v>1.4999999999999999E-4</v>
      </c>
      <c r="D67">
        <v>0.3</v>
      </c>
      <c r="E67">
        <v>0.1</v>
      </c>
      <c r="F67">
        <v>512</v>
      </c>
      <c r="G67">
        <v>2000</v>
      </c>
      <c r="H67">
        <v>0</v>
      </c>
      <c r="I67">
        <v>16</v>
      </c>
      <c r="J67">
        <v>8</v>
      </c>
      <c r="K67">
        <v>512</v>
      </c>
      <c r="L67">
        <v>1</v>
      </c>
      <c r="M67">
        <v>2.6092270000000002</v>
      </c>
      <c r="N67">
        <v>2.0899999999999998E-2</v>
      </c>
      <c r="O67">
        <v>13568</v>
      </c>
      <c r="P67">
        <v>13568</v>
      </c>
      <c r="Q67">
        <v>6.8</v>
      </c>
      <c r="R67">
        <v>128</v>
      </c>
      <c r="S67" t="s">
        <v>179</v>
      </c>
      <c r="T67" t="s">
        <v>233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Paper cases</vt:lpstr>
      <vt:lpstr>CH nu-domain (Re sweep)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Gore, Ishan (GE Aerospace, US)</cp:lastModifiedBy>
  <dcterms:created xsi:type="dcterms:W3CDTF">2026-08-23T19:57:25Z</dcterms:created>
  <dcterms:modified xsi:type="dcterms:W3CDTF">2026-09-03T21:46:15Z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b68801-e10f-48d9-9ed4-5d8b7b3ccbcf_Enabled">
    <vt:lpwstr>true</vt:lpwstr>
  </property>
  <property fmtid="{D5CDD505-2E9C-101B-9397-08002B2CF9AE}" pid="3" name="MSIP_Label_93b68801-e10f-48d9-9ed4-5d8b7b3ccbcf_SetDate">
    <vt:lpwstr>2026-08-23T19:38:54Z</vt:lpwstr>
  </property>
  <property fmtid="{D5CDD505-2E9C-101B-9397-08002B2CF9AE}" pid="4" name="MSIP_Label_93b68801-e10f-48d9-9ed4-5d8b7b3ccbcf_Method">
    <vt:lpwstr>Standard</vt:lpwstr>
  </property>
  <property fmtid="{D5CDD505-2E9C-101B-9397-08002B2CF9AE}" pid="5" name="MSIP_Label_93b68801-e10f-48d9-9ed4-5d8b7b3ccbcf_Name">
    <vt:lpwstr>GE Aerospace - Sensitive</vt:lpwstr>
  </property>
  <property fmtid="{D5CDD505-2E9C-101B-9397-08002B2CF9AE}" pid="6" name="MSIP_Label_93b68801-e10f-48d9-9ed4-5d8b7b3ccbcf_SiteId">
    <vt:lpwstr>86b871ed-f0e7-4126-9bf4-5ee5cf19e256</vt:lpwstr>
  </property>
  <property fmtid="{D5CDD505-2E9C-101B-9397-08002B2CF9AE}" pid="7" name="MSIP_Label_93b68801-e10f-48d9-9ed4-5d8b7b3ccbcf_ActionId">
    <vt:lpwstr>c79a836c-46a2-4e38-ace3-8461424e3eb5</vt:lpwstr>
  </property>
  <property fmtid="{D5CDD505-2E9C-101B-9397-08002B2CF9AE}" pid="8" name="MSIP_Label_93b68801-e10f-48d9-9ed4-5d8b7b3ccbcf_ContentBits">
    <vt:lpwstr>0</vt:lpwstr>
  </property>
  <property fmtid="{D5CDD505-2E9C-101B-9397-08002B2CF9AE}" pid="9" name="MSIP_Label_93b68801-e10f-48d9-9ed4-5d8b7b3ccbcf_Tag">
    <vt:lpwstr>50, 3, 0, 1</vt:lpwstr>
  </property>
</Properties>
</file>