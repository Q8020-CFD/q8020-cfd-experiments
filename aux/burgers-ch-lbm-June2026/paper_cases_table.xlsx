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40" yWindow="5400" windowWidth="30180" windowHeight="16940" tabRatio="600" firstSheet="0" activeTab="0" autoFilterDateGrouping="1"/>
  </bookViews>
  <sheets>
    <sheet name="Paper cases" sheetId="1" state="visible" r:id="rId1"/>
    <sheet name="CH nu-domain (Re sweep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E+00"/>
  </numFmts>
  <fonts count="5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sz val="12"/>
    </font>
    <font>
      <name val="Aptos Narrow"/>
      <b val="1"/>
      <sz val="12"/>
    </font>
    <font>
      <name val="Aptos Narrow"/>
      <color theme="1"/>
      <sz val="12"/>
      <scheme val="minor"/>
    </font>
  </fonts>
  <fills count="1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4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1" pivotButton="0" quotePrefix="0" xfId="0"/>
    <xf numFmtId="0" fontId="1" fillId="2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0" fillId="0" borderId="1" applyAlignment="1" pivotButton="0" quotePrefix="0" xfId="0">
      <alignment wrapText="1"/>
    </xf>
    <xf numFmtId="3" fontId="0" fillId="3" borderId="1" pivotButton="0" quotePrefix="0" xfId="0"/>
    <xf numFmtId="3" fontId="0" fillId="4" borderId="1" pivotButton="0" quotePrefix="0" xfId="0"/>
    <xf numFmtId="3" fontId="0" fillId="6" borderId="1" pivotButton="0" quotePrefix="0" xfId="0"/>
    <xf numFmtId="3" fontId="0" fillId="5" borderId="1" pivotButton="0" quotePrefix="0" xfId="0"/>
    <xf numFmtId="3" fontId="0" fillId="7" borderId="1" pivotButton="0" quotePrefix="0" xfId="0"/>
    <xf numFmtId="3" fontId="0" fillId="8" borderId="1" pivotButton="0" quotePrefix="0" xfId="0"/>
    <xf numFmtId="3" fontId="0" fillId="9" borderId="1" pivotButton="0" quotePrefix="0" xfId="0"/>
    <xf numFmtId="3" fontId="0" fillId="0" borderId="1" pivotButton="0" quotePrefix="0" xfId="0"/>
    <xf numFmtId="0" fontId="1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1" fillId="2" borderId="1" applyAlignment="1" pivotButton="0" quotePrefix="0" xfId="0">
      <alignment horizontal="center"/>
    </xf>
    <xf numFmtId="0" fontId="0" fillId="7" borderId="1" applyAlignment="1" pivotButton="0" quotePrefix="0" xfId="0">
      <alignment horizontal="right"/>
    </xf>
    <xf numFmtId="0" fontId="1" fillId="10" borderId="1" applyAlignment="1" pivotButton="0" quotePrefix="0" xfId="0">
      <alignment horizontal="center"/>
    </xf>
    <xf numFmtId="0" fontId="1" fillId="11" borderId="1" applyAlignment="1" pivotButton="0" quotePrefix="0" xfId="0">
      <alignment horizontal="center"/>
    </xf>
    <xf numFmtId="0" fontId="1" fillId="8" borderId="1" pivotButton="0" quotePrefix="0" xfId="0"/>
    <xf numFmtId="0" fontId="3" fillId="8" borderId="1" pivotButton="0" quotePrefix="0" xfId="0"/>
    <xf numFmtId="0" fontId="1" fillId="8" borderId="1" applyAlignment="1" pivotButton="0" quotePrefix="0" xfId="0">
      <alignment horizontal="center"/>
    </xf>
    <xf numFmtId="3" fontId="1" fillId="8" borderId="1" pivotButton="0" quotePrefix="0" xfId="0"/>
    <xf numFmtId="0" fontId="1" fillId="9" borderId="1" pivotButton="0" quotePrefix="0" xfId="0"/>
    <xf numFmtId="0" fontId="3" fillId="9" borderId="1" pivotButton="0" quotePrefix="0" xfId="0"/>
    <xf numFmtId="0" fontId="1" fillId="9" borderId="1" applyAlignment="1" pivotButton="0" quotePrefix="0" xfId="0">
      <alignment horizontal="center"/>
    </xf>
    <xf numFmtId="3" fontId="1" fillId="9" borderId="1" pivotButton="0" quotePrefix="0" xfId="0"/>
    <xf numFmtId="0" fontId="1" fillId="7" borderId="1" pivotButton="0" quotePrefix="0" xfId="0"/>
    <xf numFmtId="0" fontId="1" fillId="7" borderId="1" applyAlignment="1" pivotButton="0" quotePrefix="0" xfId="0">
      <alignment horizontal="center"/>
    </xf>
    <xf numFmtId="3" fontId="1" fillId="7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3" fontId="1" fillId="5" borderId="1" pivotButton="0" quotePrefix="0" xfId="0"/>
    <xf numFmtId="0" fontId="1" fillId="3" borderId="1" pivotButton="0" quotePrefix="0" xfId="0"/>
    <xf numFmtId="0" fontId="1" fillId="3" borderId="1" applyAlignment="1" pivotButton="0" quotePrefix="0" xfId="0">
      <alignment horizontal="center"/>
    </xf>
    <xf numFmtId="3" fontId="1" fillId="3" borderId="1" applyAlignment="1" pivotButton="0" quotePrefix="0" xfId="0">
      <alignment horizontal="center"/>
    </xf>
    <xf numFmtId="0" fontId="1" fillId="4" borderId="1" pivotButton="0" quotePrefix="0" xfId="0"/>
    <xf numFmtId="0" fontId="1" fillId="4" borderId="1" applyAlignment="1" pivotButton="0" quotePrefix="0" xfId="0">
      <alignment horizontal="center"/>
    </xf>
    <xf numFmtId="3" fontId="1" fillId="4" borderId="1" pivotButton="0" quotePrefix="0" xfId="0"/>
    <xf numFmtId="0" fontId="1" fillId="12" borderId="1" pivotButton="0" quotePrefix="0" xfId="0"/>
    <xf numFmtId="0" fontId="1" fillId="12" borderId="1" applyAlignment="1" pivotButton="0" quotePrefix="0" xfId="0">
      <alignment horizontal="center"/>
    </xf>
    <xf numFmtId="3" fontId="1" fillId="12" borderId="1" pivotButton="0" quotePrefix="0" xfId="0"/>
    <xf numFmtId="0" fontId="0" fillId="6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0" fillId="3" borderId="1" applyAlignment="1" pivotButton="0" quotePrefix="0" xfId="0">
      <alignment horizontal="right"/>
    </xf>
    <xf numFmtId="0" fontId="0" fillId="12" borderId="1" pivotButton="0" quotePrefix="0" xfId="0"/>
    <xf numFmtId="49" fontId="1" fillId="2" borderId="1" pivotButton="0" quotePrefix="0" xfId="0"/>
    <xf numFmtId="49" fontId="1" fillId="3" borderId="1" pivotButton="0" quotePrefix="0" xfId="0"/>
    <xf numFmtId="49" fontId="0" fillId="3" borderId="1" pivotButton="0" quotePrefix="0" xfId="0"/>
    <xf numFmtId="49" fontId="1" fillId="4" borderId="1" pivotButton="0" quotePrefix="0" xfId="0"/>
    <xf numFmtId="49" fontId="0" fillId="4" borderId="1" pivotButton="0" quotePrefix="0" xfId="0"/>
    <xf numFmtId="49" fontId="1" fillId="12" borderId="1" pivotButton="0" quotePrefix="0" xfId="0"/>
    <xf numFmtId="49" fontId="0" fillId="12" borderId="1" pivotButton="0" quotePrefix="0" xfId="0"/>
    <xf numFmtId="49" fontId="1" fillId="5" borderId="1" pivotButton="0" quotePrefix="0" xfId="0"/>
    <xf numFmtId="49" fontId="0" fillId="5" borderId="1" pivotButton="0" quotePrefix="0" xfId="0"/>
    <xf numFmtId="49" fontId="1" fillId="7" borderId="1" pivotButton="0" quotePrefix="0" xfId="0"/>
    <xf numFmtId="49" fontId="0" fillId="7" borderId="1" pivotButton="0" quotePrefix="0" xfId="0"/>
    <xf numFmtId="49" fontId="1" fillId="8" borderId="1" pivotButton="0" quotePrefix="0" xfId="0"/>
    <xf numFmtId="49" fontId="0" fillId="8" borderId="1" pivotButton="0" quotePrefix="0" xfId="0"/>
    <xf numFmtId="49" fontId="1" fillId="9" borderId="1" pivotButton="0" quotePrefix="0" xfId="0"/>
    <xf numFmtId="49" fontId="0" fillId="9" borderId="1" pivotButton="0" quotePrefix="0" xfId="0"/>
    <xf numFmtId="49" fontId="0" fillId="0" borderId="1" pivotButton="0" quotePrefix="0" xfId="0"/>
    <xf numFmtId="0" fontId="4" fillId="4" borderId="1" pivotButton="0" quotePrefix="0" xfId="0"/>
    <xf numFmtId="164" fontId="1" fillId="3" borderId="1" applyAlignment="1" pivotButton="0" quotePrefix="0" xfId="0">
      <alignment horizontal="center"/>
    </xf>
    <xf numFmtId="164" fontId="1" fillId="3" borderId="1" pivotButton="0" quotePrefix="0" xfId="0"/>
    <xf numFmtId="164" fontId="0" fillId="3" borderId="1" pivotButton="0" quotePrefix="0" xfId="0"/>
    <xf numFmtId="164" fontId="1" fillId="4" borderId="1" pivotButton="0" quotePrefix="0" xfId="0"/>
    <xf numFmtId="164" fontId="0" fillId="4" borderId="1" pivotButton="0" quotePrefix="0" xfId="0"/>
    <xf numFmtId="164" fontId="1" fillId="12" borderId="1" pivotButton="0" quotePrefix="0" xfId="0"/>
    <xf numFmtId="164" fontId="0" fillId="12" borderId="1" pivotButton="0" quotePrefix="0" xfId="0"/>
    <xf numFmtId="164" fontId="1" fillId="5" borderId="1" pivotButton="0" quotePrefix="0" xfId="0"/>
    <xf numFmtId="164" fontId="0" fillId="5" borderId="1" pivotButton="0" quotePrefix="0" xfId="0"/>
    <xf numFmtId="164" fontId="1" fillId="7" borderId="1" pivotButton="0" quotePrefix="0" xfId="0"/>
    <xf numFmtId="164" fontId="0" fillId="7" borderId="1" pivotButton="0" quotePrefix="0" xfId="0"/>
    <xf numFmtId="164" fontId="0" fillId="7" borderId="1" applyAlignment="1" pivotButton="0" quotePrefix="0" xfId="0">
      <alignment horizontal="right"/>
    </xf>
    <xf numFmtId="164" fontId="1" fillId="8" borderId="1" applyAlignment="1" pivotButton="0" quotePrefix="0" xfId="0">
      <alignment horizontal="right"/>
    </xf>
    <xf numFmtId="164" fontId="1" fillId="8" borderId="1" pivotButton="0" quotePrefix="0" xfId="0"/>
    <xf numFmtId="164" fontId="0" fillId="8" borderId="1" pivotButton="0" quotePrefix="0" xfId="0"/>
    <xf numFmtId="164" fontId="1" fillId="9" borderId="1" pivotButton="0" quotePrefix="0" xfId="0"/>
    <xf numFmtId="164" fontId="0" fillId="9" borderId="1" pivotButton="0" quotePrefix="0" xfId="0"/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4" fontId="1" fillId="10" borderId="1" applyAlignment="1" pivotButton="0" quotePrefix="0" xfId="0">
      <alignment horizontal="center"/>
    </xf>
    <xf numFmtId="164" fontId="1" fillId="10" borderId="1" pivotButton="0" quotePrefix="0" xfId="0"/>
    <xf numFmtId="49" fontId="0" fillId="7" borderId="1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tabSelected="1" workbookViewId="0">
      <pane ySplit="1" topLeftCell="A17" activePane="bottomLeft" state="frozen"/>
      <selection pane="bottomLeft" activeCell="A33" sqref="A33"/>
    </sheetView>
  </sheetViews>
  <sheetFormatPr baseColWidth="10" defaultColWidth="10.83203125" defaultRowHeight="16"/>
  <cols>
    <col width="4.1640625" customWidth="1" style="8" min="1" max="1"/>
    <col width="39.33203125" bestFit="1" customWidth="1" style="8" min="2" max="2"/>
    <col width="16.33203125" customWidth="1" style="8" min="3" max="3"/>
    <col width="24" customWidth="1" style="8" min="4" max="4"/>
    <col width="4.6640625" customWidth="1" style="8" min="5" max="5"/>
    <col width="9" customWidth="1" style="8" min="6" max="6"/>
    <col width="7" customWidth="1" style="8" min="7" max="7"/>
    <col width="5.6640625" customWidth="1" style="8" min="8" max="10"/>
    <col width="11.5" customWidth="1" style="21" min="11" max="11"/>
    <col width="9" customWidth="1" style="8" min="12" max="12"/>
    <col width="9.33203125" customWidth="1" style="8" min="13" max="13"/>
    <col width="12" customWidth="1" style="8" min="14" max="14"/>
    <col width="9.6640625" customWidth="1" style="8" min="15" max="15"/>
    <col width="10.6640625" customWidth="1" style="30" min="16" max="16"/>
    <col width="11.1640625" customWidth="1" style="30" min="17" max="17"/>
    <col width="18.83203125" customWidth="1" style="96" min="18" max="18"/>
    <col width="18.5" customWidth="1" style="97" min="19" max="19"/>
    <col width="10.1640625" customWidth="1" style="13" min="20" max="20"/>
    <col width="11.83203125" customWidth="1" style="13" min="21" max="21"/>
    <col width="11.5" customWidth="1" style="13" min="22" max="23"/>
    <col width="13.1640625" customWidth="1" style="8" min="24" max="24"/>
    <col width="10.5" customWidth="1" style="77" min="25" max="25"/>
    <col width="10.83203125" customWidth="1" style="8" min="26" max="28"/>
    <col width="11.1640625" customWidth="1" style="8" min="29" max="29"/>
    <col width="19.33203125" bestFit="1" customWidth="1" style="8" min="30" max="30"/>
    <col width="89.5" bestFit="1" customWidth="1" style="8" min="31" max="31"/>
    <col width="10.83203125" customWidth="1" style="8" min="32" max="32"/>
    <col width="10.83203125" customWidth="1" style="8" min="33" max="16384"/>
  </cols>
  <sheetData>
    <row r="1" ht="17" customFormat="1" customHeight="1" s="9">
      <c r="A1" s="9" t="inlineStr">
        <is>
          <t>#</t>
        </is>
      </c>
      <c r="B1" s="9" t="inlineStr">
        <is>
          <t>Case</t>
        </is>
      </c>
      <c r="C1" s="9" t="inlineStr">
        <is>
          <t>Method</t>
        </is>
      </c>
      <c r="D1" s="9" t="inlineStr">
        <is>
          <t>Backend / target</t>
        </is>
      </c>
      <c r="E1" s="22" t="inlineStr">
        <is>
          <t>q</t>
        </is>
      </c>
      <c r="F1" s="22" t="inlineStr">
        <is>
          <t>nu</t>
        </is>
      </c>
      <c r="G1" s="22" t="inlineStr">
        <is>
          <t>A</t>
        </is>
      </c>
      <c r="H1" s="22" t="inlineStr">
        <is>
          <t>cfl</t>
        </is>
      </c>
      <c r="I1" s="22" t="inlineStr">
        <is>
          <t>steps</t>
        </is>
      </c>
      <c r="J1" s="22" t="inlineStr">
        <is>
          <t>Re</t>
        </is>
      </c>
      <c r="K1" s="31" t="inlineStr">
        <is>
          <t>Shots</t>
        </is>
      </c>
      <c r="L1" s="33" t="inlineStr">
        <is>
          <t>Bond dim</t>
        </is>
      </c>
      <c r="M1" s="33" t="inlineStr">
        <is>
          <t>Phi modes</t>
        </is>
      </c>
      <c r="N1" s="34" t="inlineStr">
        <is>
          <t>In-segment k</t>
        </is>
      </c>
      <c r="O1" s="34" t="inlineStr">
        <is>
          <t>Segments</t>
        </is>
      </c>
      <c r="P1" s="22" t="inlineStr">
        <is>
          <t>Mitigation</t>
        </is>
      </c>
      <c r="Q1" s="22" t="inlineStr">
        <is>
          <t>Paper ref</t>
        </is>
      </c>
      <c r="R1" s="98" t="inlineStr">
        <is>
          <t>L2 (RMS vs FTCS 800)</t>
        </is>
      </c>
      <c r="S1" s="99" t="inlineStr">
        <is>
          <t>L2 (rel vs FTCS 800)</t>
        </is>
      </c>
      <c r="T1" s="22" t="inlineStr">
        <is>
          <t>q (actual)</t>
        </is>
      </c>
      <c r="U1" s="22" t="inlineStr">
        <is>
          <t>circuit depth</t>
        </is>
      </c>
      <c r="V1" s="22" t="inlineStr">
        <is>
          <t>gate s</t>
        </is>
      </c>
      <c r="W1" s="22" t="inlineStr">
        <is>
          <t>2-qubit gates</t>
        </is>
      </c>
      <c r="X1" s="9" t="inlineStr">
        <is>
          <t>classical host</t>
        </is>
      </c>
      <c r="Y1" s="9" t="inlineStr">
        <is>
          <t>user</t>
        </is>
      </c>
      <c r="Z1" s="9" t="inlineStr">
        <is>
          <t>construct s</t>
        </is>
      </c>
      <c r="AA1" s="9" t="inlineStr">
        <is>
          <t>transpile s</t>
        </is>
      </c>
      <c r="AB1" s="9" t="inlineStr">
        <is>
          <t>execute s</t>
        </is>
      </c>
      <c r="AC1" s="9" t="inlineStr">
        <is>
          <t>wall s</t>
        </is>
      </c>
      <c r="AD1" s="9" t="inlineStr">
        <is>
          <t>Notes</t>
        </is>
      </c>
      <c r="AE1" s="62" t="inlineStr">
        <is>
          <t>results/ dir</t>
        </is>
      </c>
    </row>
    <row r="2" customFormat="1" s="49">
      <c r="B2" s="49" t="inlineStr">
        <is>
          <t>Fig. 1: CH vs. QLBM / QALB</t>
        </is>
      </c>
      <c r="E2" s="50" t="n"/>
      <c r="F2" s="50" t="n"/>
      <c r="G2" s="50" t="n"/>
      <c r="H2" s="50" t="n"/>
      <c r="I2" s="50" t="n"/>
      <c r="J2" s="50" t="n"/>
      <c r="K2" s="51" t="n"/>
      <c r="L2" s="50" t="n"/>
      <c r="M2" s="50" t="n"/>
      <c r="N2" s="50" t="n"/>
      <c r="O2" s="50" t="n"/>
      <c r="P2" s="50" t="n"/>
      <c r="Q2" s="50" t="n"/>
      <c r="R2" s="79" t="n"/>
      <c r="S2" s="80" t="n"/>
      <c r="AE2" s="63" t="n"/>
    </row>
    <row r="3" customFormat="1" s="1">
      <c r="A3" s="1" t="n">
        <v>1</v>
      </c>
      <c r="B3" s="1" t="inlineStr">
        <is>
          <t>ab-q4/burgers_ab_mutual_q4_nu030.toml</t>
        </is>
      </c>
      <c r="C3" s="1" t="inlineStr">
        <is>
          <t>CH</t>
        </is>
      </c>
      <c r="D3" s="1" t="inlineStr">
        <is>
          <t>IBM Aer sim</t>
        </is>
      </c>
      <c r="E3" s="1" t="n">
        <v>4</v>
      </c>
      <c r="F3" s="1" t="n">
        <v>0.03</v>
      </c>
      <c r="G3" s="1" t="n">
        <v>0.3</v>
      </c>
      <c r="H3" s="1" t="n">
        <v>0.1</v>
      </c>
      <c r="I3" s="1">
        <f>N3*O3</f>
        <v/>
      </c>
      <c r="J3" s="1">
        <f>G3/F3</f>
        <v/>
      </c>
      <c r="K3" s="14" t="n">
        <v>150000</v>
      </c>
      <c r="L3" s="1" t="n">
        <v>8</v>
      </c>
      <c r="M3" s="1" t="n">
        <v>8</v>
      </c>
      <c r="N3" s="1" t="n">
        <v>5</v>
      </c>
      <c r="O3" s="1" t="n">
        <v>6</v>
      </c>
      <c r="P3" s="23" t="n"/>
      <c r="Q3" s="23" t="inlineStr">
        <is>
          <t>Fig. 1</t>
        </is>
      </c>
      <c r="R3" s="81" t="n">
        <v>0.019724</v>
      </c>
      <c r="S3" s="81" t="n">
        <v>0.11214721240492</v>
      </c>
      <c r="T3" s="1" t="n">
        <v>10</v>
      </c>
      <c r="U3" s="1" t="n">
        <v>3046</v>
      </c>
      <c r="V3" s="1" t="n">
        <v>3721</v>
      </c>
      <c r="W3" s="1" t="n">
        <v>1006</v>
      </c>
      <c r="X3" s="1" t="inlineStr">
        <is>
          <t>Mac</t>
        </is>
      </c>
      <c r="Y3" s="1" t="inlineStr">
        <is>
          <t>agallojr</t>
        </is>
      </c>
      <c r="Z3" s="1" t="n">
        <v>0.03</v>
      </c>
      <c r="AA3" s="1" t="n">
        <v>0.13</v>
      </c>
      <c r="AB3" s="1" t="n">
        <v>60.02</v>
      </c>
      <c r="AC3" s="1" t="n">
        <v>126.25</v>
      </c>
      <c r="AE3" s="64" t="inlineStr">
        <is>
          <t>burgers-ch-lbm-June2026/local-mac/q4/burgers_ab_mutual_q4_nu030/ddbc6df6</t>
        </is>
      </c>
    </row>
    <row r="4" customFormat="1" s="1">
      <c r="A4" s="1" t="n">
        <v>2</v>
      </c>
      <c r="B4" s="1" t="inlineStr">
        <is>
          <t>ab-q6/burgers_ab_mutual_q6_nu030.toml</t>
        </is>
      </c>
      <c r="C4" s="1" t="inlineStr">
        <is>
          <t>CH</t>
        </is>
      </c>
      <c r="D4" s="1" t="inlineStr">
        <is>
          <t>IBM Aer sim</t>
        </is>
      </c>
      <c r="E4" s="1" t="n">
        <v>6</v>
      </c>
      <c r="F4" s="1" t="n">
        <v>0.03</v>
      </c>
      <c r="G4" s="1" t="n">
        <v>0.3</v>
      </c>
      <c r="H4" s="1" t="n">
        <v>0.1</v>
      </c>
      <c r="I4" s="1">
        <f>N4*O4</f>
        <v/>
      </c>
      <c r="J4" s="1">
        <f>G4/F4</f>
        <v/>
      </c>
      <c r="K4" s="14" t="n">
        <v>150000</v>
      </c>
      <c r="L4" s="1" t="n">
        <v>8</v>
      </c>
      <c r="M4" s="1" t="n">
        <v>8</v>
      </c>
      <c r="N4" s="1" t="n">
        <v>5</v>
      </c>
      <c r="O4" s="1" t="n">
        <v>20</v>
      </c>
      <c r="P4" s="23" t="n"/>
      <c r="Q4" s="23" t="inlineStr">
        <is>
          <t>Fig. 1</t>
        </is>
      </c>
      <c r="R4" s="81" t="n">
        <v>0.051276</v>
      </c>
      <c r="S4" s="81" t="n">
        <v>0.291529</v>
      </c>
      <c r="T4" s="1" t="n">
        <v>14</v>
      </c>
      <c r="U4" s="1" t="n">
        <v>16602</v>
      </c>
      <c r="V4" s="1" t="n">
        <v>21800</v>
      </c>
      <c r="W4" s="1" t="n">
        <v>6628</v>
      </c>
      <c r="X4" s="1" t="inlineStr">
        <is>
          <t>Mac</t>
        </is>
      </c>
      <c r="Y4" s="1" t="inlineStr">
        <is>
          <t>agallojr</t>
        </is>
      </c>
      <c r="Z4" s="1" t="n">
        <v>0.63</v>
      </c>
      <c r="AA4" s="1" t="n">
        <v>0.62</v>
      </c>
      <c r="AB4" s="1" t="n">
        <v>1.84</v>
      </c>
      <c r="AC4" s="1" t="n">
        <v>9.039999999999999</v>
      </c>
      <c r="AE4" s="64" t="inlineStr">
        <is>
          <t>burgers-ch-lbm-June2026/local-mac/q6/burgers_ab_mutual_q6_nu030/92fc1ac8</t>
        </is>
      </c>
    </row>
    <row r="5" customFormat="1" s="1">
      <c r="A5" s="1" t="n">
        <v>3</v>
      </c>
      <c r="B5" s="1" t="inlineStr">
        <is>
          <t>ab-q8/burgers_ab_mutual_q8_nu030.toml</t>
        </is>
      </c>
      <c r="C5" s="1" t="inlineStr">
        <is>
          <t>CH</t>
        </is>
      </c>
      <c r="D5" s="1" t="inlineStr">
        <is>
          <t>IBM Aer sim</t>
        </is>
      </c>
      <c r="E5" s="1" t="n">
        <v>8</v>
      </c>
      <c r="F5" s="1" t="n">
        <v>0.03</v>
      </c>
      <c r="G5" s="1" t="n">
        <v>0.3</v>
      </c>
      <c r="H5" s="1" t="n">
        <v>0.1</v>
      </c>
      <c r="I5" s="1">
        <f>N5*O5</f>
        <v/>
      </c>
      <c r="J5" s="1">
        <f>G5/F5</f>
        <v/>
      </c>
      <c r="K5" s="14" t="n">
        <v>150000</v>
      </c>
      <c r="L5" s="1" t="n">
        <v>16</v>
      </c>
      <c r="M5" s="1" t="n">
        <v>8</v>
      </c>
      <c r="N5" s="1" t="n">
        <v>5</v>
      </c>
      <c r="O5" s="1" t="n">
        <v>80</v>
      </c>
      <c r="P5" s="23" t="n"/>
      <c r="Q5" s="23" t="inlineStr">
        <is>
          <t>Fig. 1</t>
        </is>
      </c>
      <c r="R5" s="81" t="n">
        <v>0.284099</v>
      </c>
      <c r="S5" s="81" t="n">
        <v>1.615338</v>
      </c>
      <c r="T5" s="1" t="n">
        <v>17</v>
      </c>
      <c r="U5" s="1" t="n">
        <v>84156</v>
      </c>
      <c r="V5" s="1" t="n">
        <v>117435</v>
      </c>
      <c r="W5" s="1" t="n">
        <v>40272</v>
      </c>
      <c r="X5" s="1" t="inlineStr">
        <is>
          <t>AWS</t>
        </is>
      </c>
      <c r="Y5" s="1" t="inlineStr">
        <is>
          <t>ishangore</t>
        </is>
      </c>
      <c r="Z5" s="1" t="n">
        <v>23.46</v>
      </c>
      <c r="AA5" s="1" t="n">
        <v>10.74</v>
      </c>
      <c r="AB5" s="1" t="n">
        <v>48.9</v>
      </c>
      <c r="AC5" s="1" t="n">
        <v>182.7</v>
      </c>
      <c r="AE5" s="64" t="inlineStr">
        <is>
          <t>burgers-ch-lbm-June2026/burgers_ab/burgers_ab_mutual_q8_nu030/2026-06-17/_3b2adb3c/3246dc9c</t>
        </is>
      </c>
    </row>
    <row r="6" ht="17" customFormat="1" customHeight="1" s="1">
      <c r="A6" s="1" t="n">
        <v>4</v>
      </c>
      <c r="B6" s="1" t="inlineStr">
        <is>
          <t>ab-q4/burgers_ab_mutual_q4_nu030.toml</t>
        </is>
      </c>
      <c r="C6" s="1" t="inlineStr">
        <is>
          <t>QLBM / QALB</t>
        </is>
      </c>
      <c r="D6" s="1" t="inlineStr">
        <is>
          <t>IBM Aer sim</t>
        </is>
      </c>
      <c r="E6" s="1" t="n">
        <v>4</v>
      </c>
      <c r="F6" s="1" t="n">
        <v>0.03</v>
      </c>
      <c r="G6" s="1" t="n">
        <v>0.3</v>
      </c>
      <c r="H6" s="1" t="n">
        <v>0.1</v>
      </c>
      <c r="I6" s="1">
        <f>N6*O6</f>
        <v/>
      </c>
      <c r="J6" s="1">
        <f>G6/F6</f>
        <v/>
      </c>
      <c r="K6" s="14" t="n">
        <v>150000</v>
      </c>
      <c r="L6" s="60" t="inlineStr">
        <is>
          <t>n/a</t>
        </is>
      </c>
      <c r="M6" s="60" t="inlineStr">
        <is>
          <t>n/a</t>
        </is>
      </c>
      <c r="N6" s="1" t="n">
        <v>1</v>
      </c>
      <c r="O6" s="1" t="n">
        <v>30</v>
      </c>
      <c r="P6" s="23" t="n"/>
      <c r="Q6" s="23" t="inlineStr">
        <is>
          <t>Fig. 1</t>
        </is>
      </c>
      <c r="R6" s="81" t="n">
        <v>0.1097</v>
      </c>
      <c r="S6" s="81" t="n">
        <v>0.62415</v>
      </c>
      <c r="T6" s="1" t="n">
        <v>9</v>
      </c>
      <c r="U6" s="1" t="n">
        <v>432601</v>
      </c>
      <c r="V6" s="1" t="n">
        <v>708746</v>
      </c>
      <c r="W6" s="1" t="n">
        <v>119440</v>
      </c>
      <c r="X6" s="1" t="inlineStr">
        <is>
          <t>Mac</t>
        </is>
      </c>
      <c r="Y6" s="1" t="inlineStr">
        <is>
          <t>agallojr</t>
        </is>
      </c>
      <c r="Z6" s="1" t="n">
        <v>0.13</v>
      </c>
      <c r="AA6" s="1" t="n">
        <v>1.65</v>
      </c>
      <c r="AB6" s="1" t="n">
        <v>2.45</v>
      </c>
      <c r="AC6" s="1" t="n">
        <v>9.279999999999999</v>
      </c>
      <c r="AD6" s="1" t="inlineStr">
        <is>
          <t> </t>
        </is>
      </c>
      <c r="AE6" s="64" t="inlineStr">
        <is>
          <t>burgers-ch-lbm-June2026/local-mac/q4/burgers_ab_mutual_q4_nu030/2b7e72c1</t>
        </is>
      </c>
    </row>
    <row r="7" customFormat="1" s="1">
      <c r="A7" s="1" t="n">
        <v>5</v>
      </c>
      <c r="B7" s="1" t="inlineStr">
        <is>
          <t>ab-q6/burgers_ab_mutual_q6_nu030.toml</t>
        </is>
      </c>
      <c r="C7" s="1" t="inlineStr">
        <is>
          <t>QLBM / QALB</t>
        </is>
      </c>
      <c r="D7" s="1" t="inlineStr">
        <is>
          <t>IBM Aer sim</t>
        </is>
      </c>
      <c r="E7" s="1" t="n">
        <v>6</v>
      </c>
      <c r="F7" s="1" t="n">
        <v>0.03</v>
      </c>
      <c r="G7" s="1" t="n">
        <v>0.3</v>
      </c>
      <c r="H7" s="1" t="n">
        <v>0.1</v>
      </c>
      <c r="I7" s="1">
        <f>N7*O7</f>
        <v/>
      </c>
      <c r="J7" s="1">
        <f>G7/F7</f>
        <v/>
      </c>
      <c r="K7" s="14" t="n">
        <v>150000</v>
      </c>
      <c r="L7" s="60" t="inlineStr">
        <is>
          <t>n/a</t>
        </is>
      </c>
      <c r="M7" s="60" t="inlineStr">
        <is>
          <t>n/a</t>
        </is>
      </c>
      <c r="N7" s="1" t="n">
        <v>1</v>
      </c>
      <c r="O7" s="1" t="n">
        <v>100</v>
      </c>
      <c r="P7" s="23" t="n"/>
      <c r="Q7" s="23" t="inlineStr">
        <is>
          <t>Fig. 1</t>
        </is>
      </c>
      <c r="R7" s="81" t="n">
        <v>0.017159</v>
      </c>
      <c r="S7" s="81" t="n">
        <v>0.09797699999999999</v>
      </c>
      <c r="T7" s="1" t="n">
        <v>9</v>
      </c>
      <c r="U7" s="1" t="n">
        <v>432599</v>
      </c>
      <c r="V7" s="1" t="n">
        <v>708746</v>
      </c>
      <c r="W7" s="1" t="n">
        <v>119440</v>
      </c>
      <c r="X7" s="1" t="inlineStr">
        <is>
          <t>Mac</t>
        </is>
      </c>
      <c r="Y7" s="1" t="inlineStr">
        <is>
          <t>agallojr</t>
        </is>
      </c>
      <c r="Z7" s="1" t="n">
        <v>1.67</v>
      </c>
      <c r="AA7" s="1" t="n">
        <v>22.24</v>
      </c>
      <c r="AB7" s="1" t="n">
        <v>33.63</v>
      </c>
      <c r="AC7" s="1" t="n">
        <v>62.72</v>
      </c>
      <c r="AE7" s="64" t="inlineStr">
        <is>
          <t>burgers-ch-lbm-June2026/local-mac/q6/burgers_ab_mutual_q6_nu030/ce29cbe4</t>
        </is>
      </c>
    </row>
    <row r="8" customFormat="1" s="1">
      <c r="A8" s="1" t="n">
        <v>6</v>
      </c>
      <c r="B8" s="1" t="inlineStr">
        <is>
          <t>ab-q8/burgers_ab_mutual_q8_nu030.toml</t>
        </is>
      </c>
      <c r="C8" s="1" t="inlineStr">
        <is>
          <t>QLBM / QALB</t>
        </is>
      </c>
      <c r="D8" s="1" t="inlineStr">
        <is>
          <t>IBM Aer sim</t>
        </is>
      </c>
      <c r="E8" s="1" t="n">
        <v>8</v>
      </c>
      <c r="F8" s="1" t="n">
        <v>0.03</v>
      </c>
      <c r="G8" s="1" t="n">
        <v>0.3</v>
      </c>
      <c r="H8" s="1" t="n">
        <v>0.1</v>
      </c>
      <c r="I8" s="1">
        <f>N8*O8</f>
        <v/>
      </c>
      <c r="J8" s="1">
        <f>G8/F8</f>
        <v/>
      </c>
      <c r="K8" s="14" t="n">
        <v>150000</v>
      </c>
      <c r="L8" s="60" t="inlineStr">
        <is>
          <t>n/a</t>
        </is>
      </c>
      <c r="M8" s="60" t="inlineStr">
        <is>
          <t>n/a</t>
        </is>
      </c>
      <c r="N8" s="1" t="n">
        <v>1</v>
      </c>
      <c r="O8" s="1" t="n">
        <v>400</v>
      </c>
      <c r="P8" s="23" t="n"/>
      <c r="Q8" s="23" t="inlineStr">
        <is>
          <t>Fig. 1</t>
        </is>
      </c>
      <c r="R8" s="81" t="n">
        <v>0.057593</v>
      </c>
      <c r="S8" s="81" t="n">
        <v>0.327463</v>
      </c>
      <c r="T8" s="1" t="n">
        <v>9</v>
      </c>
      <c r="U8" s="1" t="n">
        <v>432576</v>
      </c>
      <c r="V8" s="1" t="n">
        <v>708725</v>
      </c>
      <c r="W8" s="1" t="n">
        <v>119440</v>
      </c>
      <c r="X8" s="1" t="inlineStr">
        <is>
          <t>AWS</t>
        </is>
      </c>
      <c r="Y8" s="1" t="inlineStr">
        <is>
          <t>ishangore</t>
        </is>
      </c>
      <c r="Z8" s="1" t="n">
        <v>37.35</v>
      </c>
      <c r="AA8" s="1" t="n">
        <v>579.1900000000001</v>
      </c>
      <c r="AB8" s="1" t="n">
        <v>1084.04</v>
      </c>
      <c r="AC8" s="1" t="n">
        <v>1707.83</v>
      </c>
      <c r="AE8" s="64" t="inlineStr">
        <is>
          <t>burgers-ch-lbm-June2026/burgers_ab/burgers_ab_mutual_q8_nu030/2026-06-17/_3b2adb3c/480d037d</t>
        </is>
      </c>
    </row>
    <row r="9" ht="17" customFormat="1" customHeight="1" s="52">
      <c r="B9" s="52" t="inlineStr">
        <is>
          <t>M1: another case, no figure, paper mentions</t>
        </is>
      </c>
      <c r="K9" s="54" t="n"/>
      <c r="P9" s="53" t="n"/>
      <c r="Q9" s="53" t="n"/>
      <c r="R9" s="82" t="n"/>
      <c r="S9" s="82" t="n"/>
      <c r="AD9" s="78" t="inlineStr">
        <is>
          <t> </t>
        </is>
      </c>
      <c r="AE9" s="65" t="n"/>
    </row>
    <row r="10" customFormat="1" s="2">
      <c r="A10" s="2" t="n">
        <v>7</v>
      </c>
      <c r="B10" s="2" t="inlineStr">
        <is>
          <t>ab-q4/burgers_ab_show_q4_qlbm_margin.toml</t>
        </is>
      </c>
      <c r="C10" s="2" t="inlineStr">
        <is>
          <t>CH</t>
        </is>
      </c>
      <c r="D10" s="2" t="inlineStr">
        <is>
          <t>IBM Aer sim</t>
        </is>
      </c>
      <c r="E10" s="2" t="n">
        <v>4</v>
      </c>
      <c r="F10" s="2" t="n">
        <v>0.025</v>
      </c>
      <c r="G10" s="2" t="n">
        <v>0.5</v>
      </c>
      <c r="H10" s="2" t="n">
        <v>0.1</v>
      </c>
      <c r="I10" s="2">
        <f>N10*O10</f>
        <v/>
      </c>
      <c r="J10" s="2">
        <f>G10/F10</f>
        <v/>
      </c>
      <c r="K10" s="15" t="n">
        <v>150000</v>
      </c>
      <c r="L10" s="2" t="n">
        <v>8</v>
      </c>
      <c r="M10" s="2" t="n">
        <v>8</v>
      </c>
      <c r="N10" s="2" t="n">
        <v>5</v>
      </c>
      <c r="O10" s="2" t="n">
        <v>6</v>
      </c>
      <c r="P10" s="24" t="n"/>
      <c r="Q10" s="24" t="inlineStr">
        <is>
          <t>Sec IV</t>
        </is>
      </c>
      <c r="R10" s="83" t="n">
        <v>0.025605</v>
      </c>
      <c r="S10" s="83" t="n">
        <v>0.088009</v>
      </c>
      <c r="T10" s="2" t="n">
        <v>10</v>
      </c>
      <c r="U10" s="2" t="n">
        <v>3064</v>
      </c>
      <c r="V10" s="2" t="n">
        <v>3756</v>
      </c>
      <c r="W10" s="2" t="n">
        <v>1007</v>
      </c>
      <c r="X10" s="2" t="inlineStr">
        <is>
          <t>Mac</t>
        </is>
      </c>
      <c r="Y10" s="2" t="inlineStr">
        <is>
          <t>agallojr</t>
        </is>
      </c>
      <c r="Z10" s="2" t="n">
        <v>0.03</v>
      </c>
      <c r="AA10" s="2" t="n">
        <v>0.11</v>
      </c>
      <c r="AB10" s="2" t="n">
        <v>67.06999999999999</v>
      </c>
      <c r="AC10" s="2" t="n">
        <v>140.02</v>
      </c>
      <c r="AE10" s="66" t="inlineStr">
        <is>
          <t>burgers-ch-lbm-June2026/local-mac/q4/burgers_ab_show_q4_qlbm_margin/3d09f09b</t>
        </is>
      </c>
    </row>
    <row r="11" customFormat="1" s="2">
      <c r="A11" s="2" t="n">
        <v>8</v>
      </c>
      <c r="B11" s="2" t="inlineStr">
        <is>
          <t>ab-q6/burgers_ab_show_q6_qlbm_margin.toml</t>
        </is>
      </c>
      <c r="C11" s="2" t="inlineStr">
        <is>
          <t>CH</t>
        </is>
      </c>
      <c r="D11" s="2" t="inlineStr">
        <is>
          <t>IBM Aer sim</t>
        </is>
      </c>
      <c r="E11" s="2" t="n">
        <v>6</v>
      </c>
      <c r="F11" s="2" t="n">
        <v>0.025</v>
      </c>
      <c r="G11" s="2" t="n">
        <v>0.5</v>
      </c>
      <c r="H11" s="2" t="n">
        <v>0.1</v>
      </c>
      <c r="I11" s="2">
        <f>N11*O11</f>
        <v/>
      </c>
      <c r="J11" s="2">
        <f>G11/F11</f>
        <v/>
      </c>
      <c r="K11" s="15" t="n">
        <v>150000</v>
      </c>
      <c r="L11" s="2" t="n">
        <v>8</v>
      </c>
      <c r="M11" s="2" t="n">
        <v>8</v>
      </c>
      <c r="N11" s="2" t="n">
        <v>5</v>
      </c>
      <c r="O11" s="2" t="n">
        <v>20</v>
      </c>
      <c r="P11" s="24" t="n"/>
      <c r="Q11" s="24" t="inlineStr">
        <is>
          <t>Sec IV</t>
        </is>
      </c>
      <c r="R11" s="83" t="n">
        <v>0.03783054582066233</v>
      </c>
      <c r="S11" s="83" t="n">
        <v>0.1256179512564433</v>
      </c>
      <c r="T11" s="2" t="n">
        <v>14</v>
      </c>
      <c r="U11" s="2" t="n">
        <v>16636</v>
      </c>
      <c r="V11" s="2" t="n">
        <v>21838</v>
      </c>
      <c r="W11" s="2" t="n">
        <v>6629</v>
      </c>
      <c r="X11" s="2" t="inlineStr">
        <is>
          <t>Mac</t>
        </is>
      </c>
      <c r="Y11" s="2" t="inlineStr">
        <is>
          <t>agallojr</t>
        </is>
      </c>
      <c r="Z11" s="2" t="n">
        <v>0.61</v>
      </c>
      <c r="AA11" s="2" t="n">
        <v>0.6</v>
      </c>
      <c r="AB11" s="2" t="n">
        <v>1.82</v>
      </c>
      <c r="AC11" s="2" t="n">
        <v>8.76</v>
      </c>
      <c r="AE11" s="66" t="inlineStr">
        <is>
          <t>burgers-ch-lbm-June2026/local-mac/q6/burgers_ab_show_q6_qlbm_margin/7b4868ec</t>
        </is>
      </c>
    </row>
    <row r="12" customFormat="1" s="2">
      <c r="A12" s="2" t="n">
        <v>9</v>
      </c>
      <c r="B12" s="2" t="inlineStr">
        <is>
          <t>ab-q8/burgers_ab_show_q8_qlbm_margin.toml</t>
        </is>
      </c>
      <c r="C12" s="2" t="inlineStr">
        <is>
          <t>CH</t>
        </is>
      </c>
      <c r="D12" s="2" t="inlineStr">
        <is>
          <t>IBM Aer sim</t>
        </is>
      </c>
      <c r="E12" s="2" t="n">
        <v>8</v>
      </c>
      <c r="F12" s="2" t="n">
        <v>0.025</v>
      </c>
      <c r="G12" s="2" t="n">
        <v>0.5</v>
      </c>
      <c r="H12" s="2" t="n">
        <v>0.1</v>
      </c>
      <c r="I12" s="2">
        <f>N12*O12</f>
        <v/>
      </c>
      <c r="J12" s="2">
        <f>G12/F12</f>
        <v/>
      </c>
      <c r="K12" s="15" t="n">
        <v>150000</v>
      </c>
      <c r="L12" s="2" t="n">
        <v>16</v>
      </c>
      <c r="M12" s="2" t="n">
        <v>8</v>
      </c>
      <c r="N12" s="2" t="n">
        <v>5</v>
      </c>
      <c r="O12" s="2" t="n">
        <v>80</v>
      </c>
      <c r="P12" s="24" t="n"/>
      <c r="Q12" s="24" t="inlineStr">
        <is>
          <t>Sec IV</t>
        </is>
      </c>
      <c r="R12" s="83" t="n">
        <v>84.583828</v>
      </c>
      <c r="S12" s="83" t="n">
        <v>280.864513</v>
      </c>
      <c r="T12" s="2" t="n">
        <v>17</v>
      </c>
      <c r="U12" s="2" t="n">
        <v>84199</v>
      </c>
      <c r="V12" s="2" t="n">
        <v>117484</v>
      </c>
      <c r="W12" s="2" t="n">
        <v>40272</v>
      </c>
      <c r="X12" s="2" t="inlineStr">
        <is>
          <t>AWS</t>
        </is>
      </c>
      <c r="Y12" s="2" t="inlineStr">
        <is>
          <t>ishangore</t>
        </is>
      </c>
      <c r="Z12" s="2" t="n">
        <v>18.29</v>
      </c>
      <c r="AA12" s="2" t="n">
        <v>15.53</v>
      </c>
      <c r="AB12" s="2" t="n">
        <v>49.21</v>
      </c>
      <c r="AC12" s="2" t="n">
        <v>182.51</v>
      </c>
      <c r="AE12" s="66" t="inlineStr">
        <is>
          <t>burgers-ch-lbm-June2026/burgers_ab/burgers_ab_show_q8_qlbm_margin/2026-06-17/_ff5c043d/5d2b518c</t>
        </is>
      </c>
    </row>
    <row r="13" customFormat="1" s="2">
      <c r="A13" s="2" t="n">
        <v>10</v>
      </c>
      <c r="B13" s="2" t="inlineStr">
        <is>
          <t>ab-q4/burgers_ab_show_q4_qlbm_margin.toml</t>
        </is>
      </c>
      <c r="C13" s="2" t="inlineStr">
        <is>
          <t>QLBM / QALB</t>
        </is>
      </c>
      <c r="D13" s="2" t="inlineStr">
        <is>
          <t>IBM Aer sim</t>
        </is>
      </c>
      <c r="E13" s="2" t="n">
        <v>4</v>
      </c>
      <c r="F13" s="2" t="n">
        <v>0.025</v>
      </c>
      <c r="G13" s="2" t="n">
        <v>0.5</v>
      </c>
      <c r="H13" s="2" t="n">
        <v>0.1</v>
      </c>
      <c r="I13" s="2">
        <f>N13*O13</f>
        <v/>
      </c>
      <c r="J13" s="2">
        <f>G13/F13</f>
        <v/>
      </c>
      <c r="K13" s="15" t="n">
        <v>150000</v>
      </c>
      <c r="L13" s="59" t="inlineStr">
        <is>
          <t>n/a</t>
        </is>
      </c>
      <c r="M13" s="59" t="inlineStr">
        <is>
          <t>n/a</t>
        </is>
      </c>
      <c r="N13" s="2" t="n">
        <v>1</v>
      </c>
      <c r="O13" s="2" t="n">
        <v>30</v>
      </c>
      <c r="P13" s="24" t="n"/>
      <c r="Q13" s="24" t="inlineStr">
        <is>
          <t>Sec IV</t>
        </is>
      </c>
      <c r="R13" s="83" t="n">
        <v>0.212141</v>
      </c>
      <c r="S13" s="83" t="n">
        <v>0.729173</v>
      </c>
      <c r="T13" s="2" t="n">
        <v>9</v>
      </c>
      <c r="U13" s="2" t="n">
        <v>432535</v>
      </c>
      <c r="V13" s="2" t="n">
        <v>708679</v>
      </c>
      <c r="W13" s="2" t="n">
        <v>119440</v>
      </c>
      <c r="X13" s="2" t="inlineStr">
        <is>
          <t>Mac</t>
        </is>
      </c>
      <c r="Y13" s="2" t="inlineStr">
        <is>
          <t>agallojr</t>
        </is>
      </c>
      <c r="Z13" s="2" t="n">
        <v>0.13</v>
      </c>
      <c r="AA13" s="2" t="n">
        <v>1.63</v>
      </c>
      <c r="AB13" s="2" t="n">
        <v>2.39</v>
      </c>
      <c r="AC13" s="2" t="n">
        <v>9.199999999999999</v>
      </c>
      <c r="AE13" s="66" t="inlineStr">
        <is>
          <t>burgers-ch-lbm-June2026/local-mac/q4/burgers_ab_show_q4_qlbm_margin/fa54540f</t>
        </is>
      </c>
    </row>
    <row r="14" customFormat="1" s="2">
      <c r="A14" s="2" t="n">
        <v>11</v>
      </c>
      <c r="B14" s="2" t="inlineStr">
        <is>
          <t>ab-q6/burgers_ab_show_q6_qlbm_margin.toml</t>
        </is>
      </c>
      <c r="C14" s="2" t="inlineStr">
        <is>
          <t>QLBM / QALB</t>
        </is>
      </c>
      <c r="D14" s="2" t="inlineStr">
        <is>
          <t>IBM Aer sim</t>
        </is>
      </c>
      <c r="E14" s="2" t="n">
        <v>6</v>
      </c>
      <c r="F14" s="2" t="n">
        <v>0.025</v>
      </c>
      <c r="G14" s="2" t="n">
        <v>0.5</v>
      </c>
      <c r="H14" s="2" t="n">
        <v>0.1</v>
      </c>
      <c r="I14" s="2">
        <f>N14*O14</f>
        <v/>
      </c>
      <c r="J14" s="2">
        <f>G14/F14</f>
        <v/>
      </c>
      <c r="K14" s="15" t="n">
        <v>150000</v>
      </c>
      <c r="L14" s="59" t="inlineStr">
        <is>
          <t>n/a</t>
        </is>
      </c>
      <c r="M14" s="59" t="inlineStr">
        <is>
          <t>n/a</t>
        </is>
      </c>
      <c r="N14" s="2" t="n">
        <v>1</v>
      </c>
      <c r="O14" s="2" t="n">
        <v>100</v>
      </c>
      <c r="P14" s="24" t="n"/>
      <c r="Q14" s="24" t="inlineStr">
        <is>
          <t>Sec IV</t>
        </is>
      </c>
      <c r="R14" s="83" t="n">
        <v>0.100355</v>
      </c>
      <c r="S14" s="83" t="n">
        <v>0.333235</v>
      </c>
      <c r="T14" s="2" t="n">
        <v>9</v>
      </c>
      <c r="U14" s="2" t="n">
        <v>432727</v>
      </c>
      <c r="V14" s="2" t="n">
        <v>708874</v>
      </c>
      <c r="W14" s="2" t="n">
        <v>119440</v>
      </c>
      <c r="X14" s="2" t="inlineStr">
        <is>
          <t>Mac</t>
        </is>
      </c>
      <c r="Y14" s="2" t="inlineStr">
        <is>
          <t>agallojr</t>
        </is>
      </c>
      <c r="Z14" s="2" t="n">
        <v>1.71</v>
      </c>
      <c r="AA14" s="2" t="n">
        <v>21.85</v>
      </c>
      <c r="AB14" s="2" t="n">
        <v>33.64</v>
      </c>
      <c r="AC14" s="2" t="n">
        <v>62.24</v>
      </c>
      <c r="AE14" s="66" t="inlineStr">
        <is>
          <t>burgers-ch-lbm-June2026/local-mac/q6/burgers_ab_show_q6_qlbm_margin/19c4e1f5</t>
        </is>
      </c>
    </row>
    <row r="15" customFormat="1" s="2">
      <c r="A15" s="2" t="n">
        <v>12</v>
      </c>
      <c r="B15" s="2" t="inlineStr">
        <is>
          <t>ab-q8/burgers_ab_show_q8_qlbm_margin.toml</t>
        </is>
      </c>
      <c r="C15" s="2" t="inlineStr">
        <is>
          <t>QLBM / QALB</t>
        </is>
      </c>
      <c r="D15" s="2" t="inlineStr">
        <is>
          <t>IBM Aer sim</t>
        </is>
      </c>
      <c r="E15" s="2" t="n">
        <v>8</v>
      </c>
      <c r="F15" s="2" t="n">
        <v>0.025</v>
      </c>
      <c r="G15" s="2" t="n">
        <v>0.5</v>
      </c>
      <c r="H15" s="2" t="n">
        <v>0.1</v>
      </c>
      <c r="I15" s="2">
        <f>N15*O15</f>
        <v/>
      </c>
      <c r="J15" s="2">
        <f>G15/F15</f>
        <v/>
      </c>
      <c r="K15" s="15" t="n">
        <v>150000</v>
      </c>
      <c r="L15" s="59" t="inlineStr">
        <is>
          <t>n/a</t>
        </is>
      </c>
      <c r="M15" s="59" t="inlineStr">
        <is>
          <t>n/a</t>
        </is>
      </c>
      <c r="N15" s="2" t="n">
        <v>1</v>
      </c>
      <c r="O15" s="2" t="n">
        <v>400</v>
      </c>
      <c r="P15" s="24" t="n"/>
      <c r="Q15" s="24" t="inlineStr">
        <is>
          <t>Sec IV</t>
        </is>
      </c>
      <c r="R15" s="83" t="n">
        <v>0.070691</v>
      </c>
      <c r="S15" s="83" t="n">
        <v>0.234733</v>
      </c>
      <c r="T15" s="2" t="n">
        <v>9</v>
      </c>
      <c r="U15" s="2" t="n">
        <v>432727</v>
      </c>
      <c r="V15" s="2" t="n">
        <v>708877</v>
      </c>
      <c r="W15" s="2" t="n">
        <v>119440</v>
      </c>
      <c r="X15" s="2" t="inlineStr">
        <is>
          <t>AWS</t>
        </is>
      </c>
      <c r="Y15" s="2" t="inlineStr">
        <is>
          <t>ishangore</t>
        </is>
      </c>
      <c r="Z15" s="2" t="n">
        <v>45.56</v>
      </c>
      <c r="AA15" s="2" t="n">
        <v>578.78</v>
      </c>
      <c r="AB15" s="2" t="n">
        <v>1090</v>
      </c>
      <c r="AC15" s="2" t="n">
        <v>1721.64</v>
      </c>
      <c r="AE15" s="66" t="inlineStr">
        <is>
          <t>burgers-ch-lbm-June2026/burgers_ab/burgers_ab_show_q8_qlbm_margin/2026-06-17/_ff5c043d/b746c4ef</t>
        </is>
      </c>
    </row>
    <row r="16" customFormat="1" s="55">
      <c r="B16" s="55" t="inlineStr">
        <is>
          <t>M2: another case, no figure, paper mentions</t>
        </is>
      </c>
      <c r="K16" s="57" t="n"/>
      <c r="P16" s="56" t="n"/>
      <c r="Q16" s="56" t="n"/>
      <c r="R16" s="84" t="n"/>
      <c r="S16" s="84" t="n"/>
      <c r="AE16" s="67" t="n"/>
    </row>
    <row r="17" customFormat="1" s="3">
      <c r="A17" s="3" t="n">
        <v>13</v>
      </c>
      <c r="B17" s="3" t="inlineStr">
        <is>
          <t>ab-q4/burgers_ab_shock_q4.toml</t>
        </is>
      </c>
      <c r="C17" s="3" t="inlineStr">
        <is>
          <t>CH</t>
        </is>
      </c>
      <c r="D17" s="3" t="inlineStr">
        <is>
          <t>IBM Aer sim</t>
        </is>
      </c>
      <c r="E17" s="3" t="n">
        <v>4</v>
      </c>
      <c r="F17" s="3" t="n">
        <v>0.03</v>
      </c>
      <c r="G17" s="3" t="n">
        <v>0.4</v>
      </c>
      <c r="H17" s="3" t="n">
        <v>0.1</v>
      </c>
      <c r="I17" s="3">
        <f>N17*O17</f>
        <v/>
      </c>
      <c r="J17" s="3">
        <f>G17/F17</f>
        <v/>
      </c>
      <c r="K17" s="16" t="n">
        <v>150000</v>
      </c>
      <c r="L17" s="3" t="n">
        <v>8</v>
      </c>
      <c r="M17" s="3" t="n">
        <v>8</v>
      </c>
      <c r="N17" s="3" t="n">
        <v>5</v>
      </c>
      <c r="O17" s="3" t="n">
        <v>12</v>
      </c>
      <c r="P17" s="25" t="n"/>
      <c r="Q17" s="25" t="inlineStr">
        <is>
          <t>Sec IV</t>
        </is>
      </c>
      <c r="R17" s="85" t="n">
        <v>0.017648</v>
      </c>
      <c r="S17" s="85" t="n">
        <v>0.100162</v>
      </c>
      <c r="T17" s="61" t="n">
        <v>10</v>
      </c>
      <c r="U17" s="61" t="n">
        <v>3063</v>
      </c>
      <c r="V17" s="61" t="n">
        <v>3753</v>
      </c>
      <c r="W17" s="61" t="n">
        <v>1007</v>
      </c>
      <c r="X17" s="61" t="inlineStr">
        <is>
          <t>Mac</t>
        </is>
      </c>
      <c r="Y17" s="61" t="inlineStr">
        <is>
          <t>agallojr</t>
        </is>
      </c>
      <c r="Z17" s="61" t="n">
        <v>0.05</v>
      </c>
      <c r="AA17" s="61" t="n">
        <v>0.22</v>
      </c>
      <c r="AB17" s="61" t="n">
        <v>131.49</v>
      </c>
      <c r="AC17" s="61" t="n">
        <v>259.93</v>
      </c>
      <c r="AE17" s="68" t="inlineStr">
        <is>
          <t>burgers-ch-lbm-June2026/local-mac/q4/burgers_ab_shock_q4/7ec8cce4</t>
        </is>
      </c>
    </row>
    <row r="18" customFormat="1" s="3">
      <c r="A18" s="3" t="n">
        <v>14</v>
      </c>
      <c r="B18" s="3" t="inlineStr">
        <is>
          <t>ab-q6/burgers_ab_shock_q6.toml</t>
        </is>
      </c>
      <c r="C18" s="3" t="inlineStr">
        <is>
          <t>CH</t>
        </is>
      </c>
      <c r="D18" s="3" t="inlineStr">
        <is>
          <t>IBM Aer sim</t>
        </is>
      </c>
      <c r="E18" s="3" t="n">
        <v>6</v>
      </c>
      <c r="F18" s="3" t="n">
        <v>0.03</v>
      </c>
      <c r="G18" s="3" t="n">
        <v>0.4</v>
      </c>
      <c r="H18" s="3" t="n">
        <v>0.1</v>
      </c>
      <c r="I18" s="3">
        <f>N18*O18</f>
        <v/>
      </c>
      <c r="J18" s="3">
        <f>G18/F18</f>
        <v/>
      </c>
      <c r="K18" s="16" t="n">
        <v>150000</v>
      </c>
      <c r="L18" s="3" t="n">
        <v>8</v>
      </c>
      <c r="M18" s="3" t="n">
        <v>8</v>
      </c>
      <c r="N18" s="3" t="n">
        <v>5</v>
      </c>
      <c r="O18" s="3" t="n">
        <v>46</v>
      </c>
      <c r="P18" s="25" t="n"/>
      <c r="Q18" s="25" t="inlineStr">
        <is>
          <t>Sec IV</t>
        </is>
      </c>
      <c r="R18" s="85" t="n">
        <v>0.07766279985361495</v>
      </c>
      <c r="S18" s="85" t="n">
        <v>0.4317435637387637</v>
      </c>
      <c r="T18" s="61" t="n">
        <v>14</v>
      </c>
      <c r="U18" s="61" t="n">
        <v>16593</v>
      </c>
      <c r="V18" s="61" t="n">
        <v>21784</v>
      </c>
      <c r="W18" s="61" t="n">
        <v>6628</v>
      </c>
      <c r="X18" s="61" t="inlineStr">
        <is>
          <t>Mac</t>
        </is>
      </c>
      <c r="Y18" s="61" t="inlineStr">
        <is>
          <t>agallojr</t>
        </is>
      </c>
      <c r="Z18" s="61" t="n">
        <v>1.49</v>
      </c>
      <c r="AA18" s="61" t="n">
        <v>1.32</v>
      </c>
      <c r="AB18" s="61" t="n">
        <v>4.22</v>
      </c>
      <c r="AC18" s="61" t="n">
        <v>17.19</v>
      </c>
      <c r="AE18" s="68" t="inlineStr">
        <is>
          <t>burgers-ch-lbm-June2026/local-mac/q6/burgers_ab_shock_q6/616e481d</t>
        </is>
      </c>
    </row>
    <row r="19" customFormat="1" s="3">
      <c r="A19" s="3" t="n">
        <v>15</v>
      </c>
      <c r="B19" s="3" t="inlineStr">
        <is>
          <t>ab-q8/burgers_ab_shock_q8.toml</t>
        </is>
      </c>
      <c r="C19" s="3" t="inlineStr">
        <is>
          <t>CH</t>
        </is>
      </c>
      <c r="D19" s="3" t="inlineStr">
        <is>
          <t>IBM Aer sim</t>
        </is>
      </c>
      <c r="E19" s="3" t="n">
        <v>8</v>
      </c>
      <c r="F19" s="3" t="n">
        <v>0.03</v>
      </c>
      <c r="G19" s="3" t="n">
        <v>0.4</v>
      </c>
      <c r="H19" s="3" t="n">
        <v>0.1</v>
      </c>
      <c r="I19" s="3">
        <f>N19*O19</f>
        <v/>
      </c>
      <c r="J19" s="3">
        <f>G19/F19</f>
        <v/>
      </c>
      <c r="K19" s="16" t="n">
        <v>150000</v>
      </c>
      <c r="L19" s="3" t="n">
        <v>16</v>
      </c>
      <c r="M19" s="3" t="n">
        <v>8</v>
      </c>
      <c r="N19" s="3" t="n">
        <v>5</v>
      </c>
      <c r="O19" s="3" t="n">
        <v>184</v>
      </c>
      <c r="P19" s="25" t="n"/>
      <c r="Q19" s="25" t="inlineStr">
        <is>
          <t>Sec IV</t>
        </is>
      </c>
      <c r="R19" s="85" t="n">
        <v>120.614592</v>
      </c>
      <c r="S19" s="85" t="n">
        <v>670.521887</v>
      </c>
      <c r="T19" s="61" t="n">
        <v>17</v>
      </c>
      <c r="U19" s="61" t="n">
        <v>84118</v>
      </c>
      <c r="V19" s="61" t="n">
        <v>117378</v>
      </c>
      <c r="W19" s="61" t="n">
        <v>40270</v>
      </c>
      <c r="X19" s="61" t="inlineStr">
        <is>
          <t>AWS</t>
        </is>
      </c>
      <c r="Y19" s="61" t="inlineStr">
        <is>
          <t>ishangore</t>
        </is>
      </c>
      <c r="Z19" s="61" t="n">
        <v>55.81</v>
      </c>
      <c r="AA19" s="61" t="n">
        <v>25.81</v>
      </c>
      <c r="AB19" s="61" t="n">
        <v>442.87</v>
      </c>
      <c r="AC19" s="61" t="n">
        <v>1072.96</v>
      </c>
      <c r="AE19" s="68" t="inlineStr">
        <is>
          <t>burgers-ch-lbm-June2026/burgers_ab/burgers_ab_shock_q8/2026-06-17/_9591f865/0dbb1eac</t>
        </is>
      </c>
    </row>
    <row r="20" customFormat="1" s="3">
      <c r="A20" s="3" t="n">
        <v>16</v>
      </c>
      <c r="B20" s="3" t="inlineStr">
        <is>
          <t>ab-q4/burgers_ab_shock_q4.toml</t>
        </is>
      </c>
      <c r="C20" s="3" t="inlineStr">
        <is>
          <t>QLBM / QALB</t>
        </is>
      </c>
      <c r="D20" s="3" t="inlineStr">
        <is>
          <t>IBM Aer sim</t>
        </is>
      </c>
      <c r="E20" s="3" t="n">
        <v>4</v>
      </c>
      <c r="F20" s="3" t="n">
        <v>0.03</v>
      </c>
      <c r="G20" s="3" t="n">
        <v>0.4</v>
      </c>
      <c r="H20" s="3" t="n">
        <v>0.1</v>
      </c>
      <c r="I20" s="3">
        <f>N20*O20</f>
        <v/>
      </c>
      <c r="J20" s="3">
        <f>G20/F20</f>
        <v/>
      </c>
      <c r="K20" s="16" t="n">
        <v>150000</v>
      </c>
      <c r="L20" s="58" t="inlineStr">
        <is>
          <t>n/a</t>
        </is>
      </c>
      <c r="M20" s="58" t="inlineStr">
        <is>
          <t>n/a</t>
        </is>
      </c>
      <c r="N20" s="3" t="n">
        <v>1</v>
      </c>
      <c r="O20" s="3" t="n">
        <v>60</v>
      </c>
      <c r="P20" s="25" t="n"/>
      <c r="Q20" s="25" t="inlineStr">
        <is>
          <t>Sec IV</t>
        </is>
      </c>
      <c r="R20" s="85" t="n">
        <v>0.153903</v>
      </c>
      <c r="S20" s="85" t="n">
        <v>0.873466</v>
      </c>
      <c r="T20" s="61" t="n">
        <v>9</v>
      </c>
      <c r="U20" s="61" t="n">
        <v>432601</v>
      </c>
      <c r="V20" s="61" t="n">
        <v>708746</v>
      </c>
      <c r="W20" s="61" t="n">
        <v>119440</v>
      </c>
      <c r="X20" s="61" t="inlineStr">
        <is>
          <t>Mac</t>
        </is>
      </c>
      <c r="Y20" s="61" t="inlineStr">
        <is>
          <t>agallojr</t>
        </is>
      </c>
      <c r="Z20" s="61" t="n">
        <v>0.26</v>
      </c>
      <c r="AA20" s="61" t="n">
        <v>3.29</v>
      </c>
      <c r="AB20" s="61" t="n">
        <v>4.99</v>
      </c>
      <c r="AC20" s="61" t="n">
        <v>15.01</v>
      </c>
      <c r="AE20" s="68" t="inlineStr">
        <is>
          <t>burgers-ch-lbm-June2026/local-mac/q4/burgers_ab_shock_q4/550f8a22</t>
        </is>
      </c>
    </row>
    <row r="21" customFormat="1" s="3">
      <c r="A21" s="3" t="n">
        <v>17</v>
      </c>
      <c r="B21" s="3" t="inlineStr">
        <is>
          <t>ab-q6/burgers_ab_shock_q6.toml</t>
        </is>
      </c>
      <c r="C21" s="3" t="inlineStr">
        <is>
          <t>QLBM / QALB</t>
        </is>
      </c>
      <c r="D21" s="3" t="inlineStr">
        <is>
          <t>IBM Aer sim</t>
        </is>
      </c>
      <c r="E21" s="3" t="n">
        <v>6</v>
      </c>
      <c r="F21" s="3" t="n">
        <v>0.03</v>
      </c>
      <c r="G21" s="3" t="n">
        <v>0.4</v>
      </c>
      <c r="H21" s="3" t="n">
        <v>0.1</v>
      </c>
      <c r="I21" s="3">
        <f>N21*O21</f>
        <v/>
      </c>
      <c r="J21" s="3">
        <f>G21/F21</f>
        <v/>
      </c>
      <c r="K21" s="16" t="n">
        <v>150000</v>
      </c>
      <c r="L21" s="58" t="inlineStr">
        <is>
          <t>n/a</t>
        </is>
      </c>
      <c r="M21" s="58" t="inlineStr">
        <is>
          <t>n/a</t>
        </is>
      </c>
      <c r="N21" s="3" t="n">
        <v>1</v>
      </c>
      <c r="O21" s="3" t="n">
        <v>230</v>
      </c>
      <c r="P21" s="25" t="n"/>
      <c r="Q21" s="25" t="inlineStr">
        <is>
          <t>Sec IV</t>
        </is>
      </c>
      <c r="R21" s="85" t="n">
        <v>0.049915</v>
      </c>
      <c r="S21" s="85" t="n">
        <v>0.277488</v>
      </c>
      <c r="T21" s="61" t="n">
        <v>9</v>
      </c>
      <c r="U21" s="61" t="n">
        <v>432599</v>
      </c>
      <c r="V21" s="61" t="n">
        <v>708746</v>
      </c>
      <c r="W21" s="61" t="n">
        <v>119440</v>
      </c>
      <c r="X21" s="61" t="inlineStr">
        <is>
          <t>Mac</t>
        </is>
      </c>
      <c r="Y21" s="61" t="inlineStr">
        <is>
          <t>agallojr</t>
        </is>
      </c>
      <c r="Z21" s="61" t="n">
        <v>3.8</v>
      </c>
      <c r="AA21" s="61" t="n">
        <v>50.41</v>
      </c>
      <c r="AB21" s="61" t="n">
        <v>76.42</v>
      </c>
      <c r="AC21" s="61" t="n">
        <v>135.74</v>
      </c>
      <c r="AE21" s="68" t="inlineStr">
        <is>
          <t>burgers-ch-lbm-June2026/local-mac/q6/burgers_ab_shock_q6/02c8c0a9</t>
        </is>
      </c>
    </row>
    <row r="22" customFormat="1" s="3">
      <c r="A22" s="3" t="n">
        <v>18</v>
      </c>
      <c r="B22" s="3" t="inlineStr">
        <is>
          <t>ab-q8/burgers_ab_shock_q8.toml</t>
        </is>
      </c>
      <c r="C22" s="3" t="inlineStr">
        <is>
          <t>QLBM / QALB</t>
        </is>
      </c>
      <c r="D22" s="3" t="inlineStr">
        <is>
          <t>IBM Aer sim</t>
        </is>
      </c>
      <c r="E22" s="3" t="n">
        <v>8</v>
      </c>
      <c r="F22" s="3" t="n">
        <v>0.03</v>
      </c>
      <c r="G22" s="3" t="n">
        <v>0.4</v>
      </c>
      <c r="H22" s="3" t="n">
        <v>0.1</v>
      </c>
      <c r="I22" s="3">
        <f>N22*O22</f>
        <v/>
      </c>
      <c r="J22" s="3">
        <f>G22/F22</f>
        <v/>
      </c>
      <c r="K22" s="16" t="n">
        <v>150000</v>
      </c>
      <c r="L22" s="58" t="inlineStr">
        <is>
          <t>n/a</t>
        </is>
      </c>
      <c r="M22" s="58" t="inlineStr">
        <is>
          <t>n/a</t>
        </is>
      </c>
      <c r="N22" s="3" t="n">
        <v>1</v>
      </c>
      <c r="O22" s="3" t="n">
        <v>920</v>
      </c>
      <c r="P22" s="25" t="n"/>
      <c r="Q22" s="25" t="inlineStr">
        <is>
          <t>Sec IV</t>
        </is>
      </c>
      <c r="R22" s="85" t="n">
        <v>0.08078299999999999</v>
      </c>
      <c r="S22" s="85" t="n">
        <v>0.449089</v>
      </c>
      <c r="T22" s="61" t="n">
        <v>9</v>
      </c>
      <c r="U22" s="61" t="n">
        <v>432576</v>
      </c>
      <c r="V22" s="61" t="n">
        <v>708725</v>
      </c>
      <c r="W22" s="61" t="n">
        <v>119440</v>
      </c>
      <c r="X22" s="61" t="inlineStr">
        <is>
          <t>AWS</t>
        </is>
      </c>
      <c r="Y22" s="61" t="inlineStr">
        <is>
          <t>ishangore</t>
        </is>
      </c>
      <c r="Z22" s="61" t="n">
        <v>93.42</v>
      </c>
      <c r="AA22" s="61" t="n">
        <v>1347.38</v>
      </c>
      <c r="AB22" s="61" t="n">
        <v>2495.88</v>
      </c>
      <c r="AC22" s="61" t="n">
        <v>3943.98</v>
      </c>
      <c r="AE22" s="68" t="inlineStr">
        <is>
          <t>burgers-ch-lbm-June2026/burgers_ab/burgers_ab_shock_q8/2026-06-17/_9591f865/d0db29d8</t>
        </is>
      </c>
    </row>
    <row r="23" ht="17" customFormat="1" customHeight="1" s="46">
      <c r="B23" s="46" t="inlineStr">
        <is>
          <t>Fig. 2 - CH on real QC</t>
        </is>
      </c>
      <c r="K23" s="48" t="n"/>
      <c r="P23" s="47" t="n"/>
      <c r="Q23" s="47" t="n"/>
      <c r="R23" s="86" t="n"/>
      <c r="S23" s="86" t="n"/>
      <c r="AD23" s="4" t="n"/>
      <c r="AE23" s="69" t="n"/>
    </row>
    <row r="24" ht="17" customFormat="1" customHeight="1" s="4">
      <c r="A24" s="4" t="n">
        <v>19</v>
      </c>
      <c r="B24" s="4" t="inlineStr">
        <is>
          <t>ch-q4-hw/burgers_ch_hw_smooth.toml</t>
        </is>
      </c>
      <c r="C24" s="4" t="inlineStr">
        <is>
          <t>CH</t>
        </is>
      </c>
      <c r="D24" s="4" t="inlineStr">
        <is>
          <t>ibm_kingston (Heron R2)</t>
        </is>
      </c>
      <c r="E24" s="4" t="n">
        <v>3</v>
      </c>
      <c r="F24" s="4" t="n">
        <v>0.08</v>
      </c>
      <c r="G24" s="4" t="n">
        <v>0.3</v>
      </c>
      <c r="H24" s="4" t="n">
        <v>0.3</v>
      </c>
      <c r="I24" s="4">
        <f>N24*O24</f>
        <v/>
      </c>
      <c r="J24" s="4">
        <f>G24/F24</f>
        <v/>
      </c>
      <c r="K24" s="17" t="n">
        <v>150000</v>
      </c>
      <c r="L24" s="4" t="n">
        <v>8</v>
      </c>
      <c r="M24" s="4" t="n">
        <v>8</v>
      </c>
      <c r="N24" s="4" t="n">
        <v>1</v>
      </c>
      <c r="O24" s="4" t="n">
        <v>1</v>
      </c>
      <c r="P24" s="26" t="inlineStr">
        <is>
          <t>TREX+DD</t>
        </is>
      </c>
      <c r="Q24" s="26" t="inlineStr">
        <is>
          <t>Fig. 2</t>
        </is>
      </c>
      <c r="R24" s="87" t="n">
        <v>0.119485</v>
      </c>
      <c r="S24" s="87" t="n">
        <v>0.634146</v>
      </c>
      <c r="T24" s="4" t="n">
        <v>5</v>
      </c>
      <c r="U24" s="4" t="n">
        <v>286</v>
      </c>
      <c r="V24" s="4" t="n">
        <v>466</v>
      </c>
      <c r="W24" s="4" t="n">
        <v>97</v>
      </c>
      <c r="X24" s="4" t="inlineStr">
        <is>
          <t>Win laptop</t>
        </is>
      </c>
      <c r="Y24" s="4" t="inlineStr">
        <is>
          <t>melvi</t>
        </is>
      </c>
      <c r="AC24" s="4" t="n">
        <v>613.46</v>
      </c>
      <c r="AD24" s="4" t="inlineStr">
        <is>
          <t> </t>
        </is>
      </c>
      <c r="AE24" s="70" t="inlineStr">
        <is>
          <t>burgers-ch-lbm-June2026/real-qc/hardware_runs/smooth_movie_kingston</t>
        </is>
      </c>
    </row>
    <row r="25" customFormat="1" s="4">
      <c r="A25" s="4" t="n">
        <v>20</v>
      </c>
      <c r="B25" s="4" t="inlineStr">
        <is>
          <t>ch-q4-hw/burgers_ch_hw_smooth.toml</t>
        </is>
      </c>
      <c r="C25" s="4" t="inlineStr">
        <is>
          <t>CH</t>
        </is>
      </c>
      <c r="D25" s="4" t="inlineStr">
        <is>
          <t>ibm_fez (Heron R2)</t>
        </is>
      </c>
      <c r="E25" s="4" t="n">
        <v>3</v>
      </c>
      <c r="F25" s="4" t="n">
        <v>0.08</v>
      </c>
      <c r="G25" s="4" t="n">
        <v>0.3</v>
      </c>
      <c r="H25" s="4" t="n">
        <v>0.3</v>
      </c>
      <c r="I25" s="4">
        <f>N25*O25</f>
        <v/>
      </c>
      <c r="J25" s="4">
        <f>G25/F25</f>
        <v/>
      </c>
      <c r="K25" s="17" t="n">
        <v>150000</v>
      </c>
      <c r="L25" s="4" t="n">
        <v>8</v>
      </c>
      <c r="M25" s="4" t="n">
        <v>8</v>
      </c>
      <c r="N25" s="4" t="n">
        <v>1</v>
      </c>
      <c r="O25" s="4" t="n">
        <v>1</v>
      </c>
      <c r="P25" s="26" t="inlineStr">
        <is>
          <t>TREX+DD</t>
        </is>
      </c>
      <c r="Q25" s="26" t="inlineStr">
        <is>
          <t>Fig. 2</t>
        </is>
      </c>
      <c r="R25" s="87" t="n">
        <v>0.112124</v>
      </c>
      <c r="S25" s="87" t="n">
        <v>0.595078</v>
      </c>
      <c r="T25" s="4" t="n">
        <v>5</v>
      </c>
      <c r="U25" s="4" t="n">
        <v>313</v>
      </c>
      <c r="V25" s="4" t="n">
        <v>470</v>
      </c>
      <c r="W25" s="4" t="n">
        <v>97</v>
      </c>
      <c r="X25" s="4" t="inlineStr">
        <is>
          <t>Win laptop</t>
        </is>
      </c>
      <c r="Y25" s="4" t="inlineStr">
        <is>
          <t>melvi</t>
        </is>
      </c>
      <c r="AC25" s="4" t="n">
        <v>678.42</v>
      </c>
      <c r="AD25" s="4" t="inlineStr">
        <is>
          <t> </t>
        </is>
      </c>
      <c r="AE25" s="70" t="inlineStr">
        <is>
          <t>burgers-ch-lbm-June2026/real-qc/hardware_runs/smooth_movie_fez</t>
        </is>
      </c>
    </row>
    <row r="26" customFormat="1" s="4">
      <c r="A26" s="4" t="n">
        <v>21</v>
      </c>
      <c r="B26" s="4" t="inlineStr">
        <is>
          <t>ch-q4-hw/burgers_ch_hw_smooth.toml</t>
        </is>
      </c>
      <c r="C26" s="4" t="inlineStr">
        <is>
          <t>CH</t>
        </is>
      </c>
      <c r="D26" s="4" t="inlineStr">
        <is>
          <t>ibm_boston (Heron R3)</t>
        </is>
      </c>
      <c r="E26" s="4" t="n">
        <v>3</v>
      </c>
      <c r="F26" s="4" t="n">
        <v>0.08</v>
      </c>
      <c r="G26" s="4" t="n">
        <v>0.3</v>
      </c>
      <c r="H26" s="4" t="n">
        <v>0.3</v>
      </c>
      <c r="I26" s="4">
        <f>N26*O26</f>
        <v/>
      </c>
      <c r="J26" s="4">
        <f>G26/F26</f>
        <v/>
      </c>
      <c r="K26" s="17" t="n">
        <v>150000</v>
      </c>
      <c r="L26" s="4" t="n">
        <v>8</v>
      </c>
      <c r="M26" s="4" t="n">
        <v>8</v>
      </c>
      <c r="N26" s="4" t="n">
        <v>1</v>
      </c>
      <c r="O26" s="4" t="n">
        <v>1</v>
      </c>
      <c r="P26" s="26" t="inlineStr">
        <is>
          <t>TREX+DD</t>
        </is>
      </c>
      <c r="Q26" s="26" t="inlineStr">
        <is>
          <t>Fig. 2</t>
        </is>
      </c>
      <c r="R26" s="87" t="n">
        <v>0.153282</v>
      </c>
      <c r="S26" s="87" t="n">
        <v>0.813514</v>
      </c>
      <c r="T26" s="4" t="n">
        <v>5</v>
      </c>
      <c r="U26" s="4" t="n">
        <v>311</v>
      </c>
      <c r="V26" s="4" t="n">
        <v>476</v>
      </c>
      <c r="W26" s="4" t="n">
        <v>97</v>
      </c>
      <c r="X26" s="4" t="inlineStr">
        <is>
          <t>Win laptop</t>
        </is>
      </c>
      <c r="Y26" s="4" t="inlineStr">
        <is>
          <t>melvi</t>
        </is>
      </c>
      <c r="AC26" s="4" t="n">
        <v>53817.56</v>
      </c>
      <c r="AD26" s="4" t="inlineStr">
        <is>
          <t> </t>
        </is>
      </c>
      <c r="AE26" s="70" t="inlineStr">
        <is>
          <t>burgers-ch-lbm-June2026/real-qc/hardware_runs/smooth_movie_boston</t>
        </is>
      </c>
    </row>
    <row r="27" customFormat="1" s="4">
      <c r="A27" s="4" t="n">
        <v>22</v>
      </c>
      <c r="B27" s="4" t="inlineStr">
        <is>
          <t>ch-q4-hw/burgers_ch_hw_smooth.toml</t>
        </is>
      </c>
      <c r="C27" s="4" t="inlineStr">
        <is>
          <t>CH</t>
        </is>
      </c>
      <c r="D27" s="4" t="inlineStr">
        <is>
          <t>ibm_miami (Nighthawk R1)</t>
        </is>
      </c>
      <c r="E27" s="4" t="n">
        <v>3</v>
      </c>
      <c r="F27" s="4" t="n">
        <v>0.08</v>
      </c>
      <c r="G27" s="4" t="n">
        <v>0.3</v>
      </c>
      <c r="H27" s="4" t="n">
        <v>0.3</v>
      </c>
      <c r="I27" s="4">
        <f>N27*O27</f>
        <v/>
      </c>
      <c r="J27" s="4">
        <f>G27/F27</f>
        <v/>
      </c>
      <c r="K27" s="17" t="n">
        <v>150000</v>
      </c>
      <c r="L27" s="4" t="n">
        <v>8</v>
      </c>
      <c r="M27" s="4" t="n">
        <v>8</v>
      </c>
      <c r="N27" s="4" t="n">
        <v>1</v>
      </c>
      <c r="O27" s="4" t="n">
        <v>1</v>
      </c>
      <c r="P27" s="26" t="inlineStr">
        <is>
          <t>TREX+DD</t>
        </is>
      </c>
      <c r="Q27" s="26" t="inlineStr">
        <is>
          <t>Fig. 2</t>
        </is>
      </c>
      <c r="R27" s="87" t="n">
        <v>0.108604</v>
      </c>
      <c r="S27" s="87" t="n">
        <v>0.576395</v>
      </c>
      <c r="T27" s="4" t="n">
        <v>5</v>
      </c>
      <c r="U27" s="4" t="n">
        <v>307</v>
      </c>
      <c r="V27" s="4" t="n">
        <v>482</v>
      </c>
      <c r="W27" s="4" t="n">
        <v>98</v>
      </c>
      <c r="X27" s="4" t="inlineStr">
        <is>
          <t>Win laptop</t>
        </is>
      </c>
      <c r="Y27" s="4" t="inlineStr">
        <is>
          <t>melvi</t>
        </is>
      </c>
      <c r="AC27" s="4" t="n">
        <v>5369.95</v>
      </c>
      <c r="AD27" s="4" t="inlineStr">
        <is>
          <t> </t>
        </is>
      </c>
      <c r="AE27" s="70" t="inlineStr">
        <is>
          <t>burgers-ch-lbm-June2026/real-qc/hardware_runs/smooth_movie_miami</t>
        </is>
      </c>
    </row>
    <row r="28" customFormat="1" s="4">
      <c r="A28" s="4" t="n">
        <v>23</v>
      </c>
      <c r="B28" s="4" t="inlineStr">
        <is>
          <t>burgers_smooth_movie_sim.toml</t>
        </is>
      </c>
      <c r="C28" s="4" t="inlineStr">
        <is>
          <t>CH</t>
        </is>
      </c>
      <c r="D28" s="4" t="inlineStr">
        <is>
          <t>IBM Aer sim</t>
        </is>
      </c>
      <c r="E28" s="4" t="n">
        <v>3</v>
      </c>
      <c r="F28" s="4" t="n">
        <v>0.08</v>
      </c>
      <c r="G28" s="4" t="n">
        <v>0.3</v>
      </c>
      <c r="H28" s="4" t="n">
        <v>0.3</v>
      </c>
      <c r="I28" s="4">
        <f>N28*O28</f>
        <v/>
      </c>
      <c r="J28" s="4">
        <f>G28/F28</f>
        <v/>
      </c>
      <c r="K28" s="17" t="n">
        <v>150000</v>
      </c>
      <c r="L28" s="4" t="n">
        <v>8</v>
      </c>
      <c r="M28" s="4" t="n">
        <v>8</v>
      </c>
      <c r="N28" s="4" t="n">
        <v>1</v>
      </c>
      <c r="O28" s="4" t="n">
        <v>1</v>
      </c>
      <c r="P28" s="26" t="n"/>
      <c r="Q28" s="26" t="inlineStr">
        <is>
          <t>Fig. 2</t>
        </is>
      </c>
      <c r="R28" s="87" t="n">
        <v>0.028732</v>
      </c>
      <c r="S28" s="87" t="n">
        <v>0.152487</v>
      </c>
      <c r="T28" s="4" t="n">
        <v>5</v>
      </c>
      <c r="U28" s="4" t="n">
        <v>227</v>
      </c>
      <c r="V28" s="4" t="n">
        <v>288</v>
      </c>
      <c r="W28" s="4" t="n">
        <v>71</v>
      </c>
      <c r="X28" s="4" t="inlineStr">
        <is>
          <t>Mac</t>
        </is>
      </c>
      <c r="Y28" s="4" t="inlineStr">
        <is>
          <t>agallojr</t>
        </is>
      </c>
      <c r="Z28" s="4" t="n">
        <v>0.01</v>
      </c>
      <c r="AA28" s="4" t="n">
        <v>0.32</v>
      </c>
      <c r="AB28" s="4" t="n">
        <v>0.09</v>
      </c>
      <c r="AC28" s="4" t="n">
        <v>4.78</v>
      </c>
      <c r="AE28" s="70" t="inlineStr">
        <is>
          <t>burgers-ch-lbm-June2026/local-mac/q3/burgers_smooth_movie_sim/d2ec49ec</t>
        </is>
      </c>
    </row>
    <row r="29" customFormat="1" s="4">
      <c r="A29" s="4" t="n">
        <v>24</v>
      </c>
      <c r="B29" s="4" t="inlineStr">
        <is>
          <t>burgers_smooth_movie_sim.toml</t>
        </is>
      </c>
      <c r="C29" s="4" t="inlineStr">
        <is>
          <t>CH</t>
        </is>
      </c>
      <c r="D29" s="4" t="inlineStr">
        <is>
          <t>IBM Aer sim</t>
        </is>
      </c>
      <c r="E29" s="4" t="n">
        <v>3</v>
      </c>
      <c r="F29" s="4" t="n">
        <v>0.08</v>
      </c>
      <c r="G29" s="4" t="n">
        <v>0.3</v>
      </c>
      <c r="H29" s="4" t="n">
        <v>0.3</v>
      </c>
      <c r="I29" s="4">
        <f>N29*O29</f>
        <v/>
      </c>
      <c r="J29" s="4">
        <f>G29/F29</f>
        <v/>
      </c>
      <c r="K29" s="17" t="n">
        <v>0</v>
      </c>
      <c r="L29" s="4" t="n">
        <v>8</v>
      </c>
      <c r="M29" s="4" t="n">
        <v>8</v>
      </c>
      <c r="N29" s="4" t="n">
        <v>1</v>
      </c>
      <c r="O29" s="4" t="n">
        <v>1</v>
      </c>
      <c r="P29" s="26" t="n"/>
      <c r="Q29" s="26" t="inlineStr">
        <is>
          <t>Fig. 2</t>
        </is>
      </c>
      <c r="R29" s="87" t="n">
        <v>0.026861</v>
      </c>
      <c r="S29" s="87" t="n">
        <v>0.142559</v>
      </c>
      <c r="X29" s="4" t="inlineStr">
        <is>
          <t>Mac</t>
        </is>
      </c>
      <c r="Y29" s="4" t="inlineStr">
        <is>
          <t>agallojr</t>
        </is>
      </c>
      <c r="Z29" s="4" t="n">
        <v>0</v>
      </c>
      <c r="AA29" s="4" t="n">
        <v>0</v>
      </c>
      <c r="AB29" s="4" t="n">
        <v>0</v>
      </c>
      <c r="AC29" s="4" t="n">
        <v>0.03</v>
      </c>
      <c r="AE29" s="70" t="inlineStr">
        <is>
          <t>burgers-ch-lbm-June2026/local-mac/q3/burgers_smooth_movie_sim/cd872d62</t>
        </is>
      </c>
    </row>
    <row r="30" customFormat="1" s="43">
      <c r="B30" s="43" t="inlineStr">
        <is>
          <t>C0: Single time segment, k=512 internal steps</t>
        </is>
      </c>
      <c r="K30" s="45" t="n"/>
      <c r="P30" s="44" t="n"/>
      <c r="Q30" s="44" t="n"/>
      <c r="R30" s="88" t="n"/>
      <c r="S30" s="88" t="n"/>
      <c r="AE30" s="71" t="n"/>
    </row>
    <row r="31" ht="17" customFormat="1" customHeight="1" s="5">
      <c r="A31" s="5" t="n">
        <v>26</v>
      </c>
      <c r="B31" s="10" t="inlineStr">
        <is>
          <t>C0 sv_floor · shots=0</t>
        </is>
      </c>
      <c r="C31" s="5" t="inlineStr">
        <is>
          <t>CH</t>
        </is>
      </c>
      <c r="D31" s="5" t="inlineStr">
        <is>
          <t>IBM Aer sim (OLCF Frontier)</t>
        </is>
      </c>
      <c r="E31" s="5" t="n">
        <v>8</v>
      </c>
      <c r="F31" s="5" t="n">
        <v>0.03</v>
      </c>
      <c r="G31" s="5" t="n">
        <v>0.3</v>
      </c>
      <c r="H31" s="5" t="n">
        <v>0.1</v>
      </c>
      <c r="I31" s="5">
        <f>N31*O31</f>
        <v/>
      </c>
      <c r="J31" s="5">
        <f>G31/F31</f>
        <v/>
      </c>
      <c r="K31" s="18" t="n">
        <v>0</v>
      </c>
      <c r="L31" s="5" t="n">
        <v>4</v>
      </c>
      <c r="M31" s="5" t="n">
        <v>8</v>
      </c>
      <c r="N31" s="5" t="n">
        <v>512</v>
      </c>
      <c r="O31" s="5" t="n">
        <v>1</v>
      </c>
      <c r="P31" s="27" t="n"/>
      <c r="Q31" s="27" t="inlineStr">
        <is>
          <t>post-paper</t>
        </is>
      </c>
      <c r="R31" s="89" t="n">
        <v>2.8e-05</v>
      </c>
      <c r="S31" s="89" t="n">
        <v>0.000169</v>
      </c>
      <c r="X31" s="5" t="inlineStr">
        <is>
          <t>Frontier</t>
        </is>
      </c>
      <c r="Y31" s="5" t="inlineStr">
        <is>
          <t>ishangore</t>
        </is>
      </c>
      <c r="Z31" s="5" t="n">
        <v>0</v>
      </c>
      <c r="AA31" s="5" t="n">
        <v>0</v>
      </c>
      <c r="AB31" s="5" t="n">
        <v>0</v>
      </c>
      <c r="AC31" s="5" t="n">
        <v>221.77</v>
      </c>
      <c r="AD31" s="5" t="inlineStr">
        <is>
          <t> </t>
        </is>
      </c>
      <c r="AE31" s="72" t="inlineStr">
        <is>
          <t>burgers-ch-lbm/ch_q8_c0/2026-08-06/_a66942a3/1f33d059</t>
        </is>
      </c>
    </row>
    <row r="32" ht="17" customFormat="1" customHeight="1" s="5">
      <c r="A32" s="5" t="inlineStr">
        <is>
          <t>26b</t>
        </is>
      </c>
      <c r="B32" s="10" t="inlineStr">
        <is>
          <t>C0 sv_floor · shots=0</t>
        </is>
      </c>
      <c r="C32" s="5" t="inlineStr">
        <is>
          <t>CH</t>
        </is>
      </c>
      <c r="D32" s="5" t="inlineStr">
        <is>
          <t>IBM Aer sim (Mac)</t>
        </is>
      </c>
      <c r="E32" s="5" t="n">
        <v>8</v>
      </c>
      <c r="F32" s="5" t="n">
        <v>0.03</v>
      </c>
      <c r="G32" s="5" t="n">
        <v>0.3</v>
      </c>
      <c r="H32" s="5" t="n">
        <v>0.1</v>
      </c>
      <c r="I32" s="5">
        <f>N32*O32</f>
        <v/>
      </c>
      <c r="J32" s="5">
        <f>G32/F32</f>
        <v/>
      </c>
      <c r="K32" s="18" t="n">
        <v>0</v>
      </c>
      <c r="L32" s="5" t="n">
        <v>4</v>
      </c>
      <c r="M32" s="5" t="n">
        <v>8</v>
      </c>
      <c r="N32" s="5" t="n">
        <v>512</v>
      </c>
      <c r="O32" s="5" t="n">
        <v>1</v>
      </c>
      <c r="P32" s="27" t="n"/>
      <c r="Q32" s="27" t="inlineStr">
        <is>
          <t>post-paper</t>
        </is>
      </c>
      <c r="R32" s="89" t="n">
        <v>2.811302e-05</v>
      </c>
      <c r="S32" s="89" t="n">
        <v>0.00016867414636</v>
      </c>
      <c r="X32" s="5" t="inlineStr">
        <is>
          <t>Mac</t>
        </is>
      </c>
      <c r="Y32" s="5" t="inlineStr">
        <is>
          <t>agallojr</t>
        </is>
      </c>
      <c r="Z32" s="5" t="n">
        <v>0</v>
      </c>
      <c r="AA32" s="5" t="n">
        <v>0</v>
      </c>
      <c r="AB32" s="5" t="n">
        <v>0</v>
      </c>
      <c r="AC32" s="5" t="n">
        <v>39.87</v>
      </c>
      <c r="AD32" s="5" t="inlineStr">
        <is>
          <t>Rerun of case 26 on optimized codebase (QFT/iQFT layer collapse, commit 557b27a+); L2 unchanged vs case 26 (delta ~2e-11), wall 39.87 s vs 221.77 s (~5.6x).</t>
        </is>
      </c>
      <c r="AE32" s="72" t="inlineStr">
        <is>
          <t>burgers-ch-lbm/ch_q8_c0/2026-09-02/case26b_shots0</t>
        </is>
      </c>
    </row>
    <row r="33" ht="17" customFormat="1" customHeight="1" s="5">
      <c r="A33" s="5" t="inlineStr">
        <is>
          <t>26a</t>
        </is>
      </c>
      <c r="B33" s="10" t="inlineStr">
        <is>
          <t>C0 sv_floor · shots=131072</t>
        </is>
      </c>
      <c r="C33" s="5" t="inlineStr">
        <is>
          <t>CH</t>
        </is>
      </c>
      <c r="D33" s="5" t="inlineStr">
        <is>
          <t>IBM Aer sim (OLCF Frontier)</t>
        </is>
      </c>
      <c r="E33" s="5" t="n">
        <v>8</v>
      </c>
      <c r="F33" s="5" t="n">
        <v>0.03</v>
      </c>
      <c r="G33" s="5" t="n">
        <v>0.3</v>
      </c>
      <c r="H33" s="5" t="n">
        <v>0.1</v>
      </c>
      <c r="I33" s="5">
        <f>N33*O33</f>
        <v/>
      </c>
      <c r="J33" s="5">
        <f>G33/F33</f>
        <v/>
      </c>
      <c r="K33" s="18" t="n">
        <v>131072</v>
      </c>
      <c r="L33" s="5" t="n">
        <v>4</v>
      </c>
      <c r="M33" s="5" t="n">
        <v>8</v>
      </c>
      <c r="N33" s="5" t="n">
        <v>512</v>
      </c>
      <c r="O33" s="5" t="n">
        <v>1</v>
      </c>
      <c r="P33" s="27" t="n"/>
      <c r="Q33" s="27" t="inlineStr">
        <is>
          <t>post-paper</t>
        </is>
      </c>
      <c r="R33" s="90" t="inlineStr">
        <is>
          <t>n/a</t>
        </is>
      </c>
      <c r="S33" s="90" t="inlineStr">
        <is>
          <t>n/a</t>
        </is>
      </c>
      <c r="T33" s="32" t="n"/>
      <c r="U33" s="32" t="n"/>
      <c r="V33" s="32" t="n"/>
      <c r="W33" s="32" t="n"/>
      <c r="X33" s="5" t="inlineStr">
        <is>
          <t>Frontier</t>
        </is>
      </c>
      <c r="Y33" s="5" t="inlineStr">
        <is>
          <t>ishangore</t>
        </is>
      </c>
      <c r="AD33" s="5" t="inlineStr">
        <is>
          <t>TIMED OUT on Frontier</t>
        </is>
      </c>
      <c r="AE33" s="100" t="inlineStr">
        <is>
          <t>burgers-ch-lbm/ch_q8_c0/2026-08-06/_a66942a3/b434e188</t>
        </is>
      </c>
    </row>
    <row r="34" customFormat="1" s="35">
      <c r="A34" s="5" t="n">
        <v>27</v>
      </c>
      <c r="B34" s="10" t="inlineStr">
        <is>
          <t>C0 sv_floor · shots=131072</t>
        </is>
      </c>
      <c r="C34" s="5" t="inlineStr">
        <is>
          <t>CH</t>
        </is>
      </c>
      <c r="D34" s="5" t="inlineStr">
        <is>
          <t>IBM Aer sim (OLCF Frontier)</t>
        </is>
      </c>
      <c r="E34" s="5" t="n">
        <v>8</v>
      </c>
      <c r="F34" s="5" t="n">
        <v>0.03</v>
      </c>
      <c r="G34" s="5" t="n">
        <v>0.3</v>
      </c>
      <c r="H34" s="5" t="n">
        <v>0.1</v>
      </c>
      <c r="I34" s="5">
        <f>N34*O34</f>
        <v/>
      </c>
      <c r="J34" s="5">
        <f>G34/F34</f>
        <v/>
      </c>
      <c r="K34" s="18" t="n">
        <v>131072</v>
      </c>
      <c r="L34" s="5" t="n">
        <v>4</v>
      </c>
      <c r="M34" s="5" t="n">
        <v>8</v>
      </c>
      <c r="N34" s="5" t="n">
        <v>512</v>
      </c>
      <c r="O34" s="5" t="n">
        <v>1</v>
      </c>
      <c r="P34" s="27" t="n"/>
      <c r="Q34" s="27" t="inlineStr">
        <is>
          <t>post-paper</t>
        </is>
      </c>
      <c r="R34" s="90" t="n">
        <v>0.010512</v>
      </c>
      <c r="S34" s="90" t="n">
        <v>0.063073</v>
      </c>
      <c r="T34" s="32" t="n">
        <v>11</v>
      </c>
      <c r="U34" s="32" t="n">
        <v>15833</v>
      </c>
      <c r="V34" s="32" t="n">
        <v>22033</v>
      </c>
      <c r="W34" s="32" t="n">
        <v>7846</v>
      </c>
      <c r="X34" s="5" t="inlineStr">
        <is>
          <t>Frontier</t>
        </is>
      </c>
      <c r="Y34" s="5" t="inlineStr">
        <is>
          <t>ishangore</t>
        </is>
      </c>
      <c r="Z34" s="5" t="n">
        <v>15.43</v>
      </c>
      <c r="AA34" s="5" t="n">
        <v>7.19</v>
      </c>
      <c r="AB34" s="5" t="n">
        <v>51.65</v>
      </c>
      <c r="AC34" s="5" t="n">
        <v>349.83</v>
      </c>
      <c r="AD34" s="5" t="inlineStr">
        <is>
          <t>Rerun of above run</t>
        </is>
      </c>
      <c r="AE34" s="100" t="inlineStr">
        <is>
          <t>burgers-ch-lbm/ch_q8_c0/2026-08-28/_2c04f665/89d9be42</t>
        </is>
      </c>
    </row>
    <row r="35" ht="17" customFormat="1" customHeight="1" s="6">
      <c r="B35" s="36" t="inlineStr">
        <is>
          <t>C1: CH segment vs k seam study</t>
        </is>
      </c>
      <c r="K35" s="38" t="n"/>
      <c r="P35" s="37" t="n"/>
      <c r="Q35" s="37" t="n"/>
      <c r="R35" s="91" t="n"/>
      <c r="S35" s="92" t="n"/>
      <c r="AE35" s="73" t="n"/>
    </row>
    <row r="36" ht="17" customFormat="1" customHeight="1" s="6">
      <c r="A36" s="6" t="n">
        <v>28</v>
      </c>
      <c r="B36" s="11" t="inlineStr">
        <is>
          <t>C1 seam · k=2</t>
        </is>
      </c>
      <c r="C36" s="6" t="inlineStr">
        <is>
          <t>CH</t>
        </is>
      </c>
      <c r="D36" s="6" t="inlineStr">
        <is>
          <t>IBM Aer sim (AWS EC2)</t>
        </is>
      </c>
      <c r="E36" s="6" t="n">
        <v>8</v>
      </c>
      <c r="F36" s="6" t="n">
        <v>0.03</v>
      </c>
      <c r="G36" s="6" t="n">
        <v>0.3</v>
      </c>
      <c r="H36" s="6" t="n">
        <v>0.1</v>
      </c>
      <c r="I36" s="6">
        <f>N36*O36</f>
        <v/>
      </c>
      <c r="J36" s="6">
        <f>G36/F36</f>
        <v/>
      </c>
      <c r="K36" s="19" t="n">
        <v>131072</v>
      </c>
      <c r="L36" s="6" t="n">
        <v>4</v>
      </c>
      <c r="M36" s="6" t="n">
        <v>8</v>
      </c>
      <c r="N36" s="6" t="n">
        <v>2</v>
      </c>
      <c r="O36" s="6" t="n">
        <v>256</v>
      </c>
      <c r="P36" s="28" t="n"/>
      <c r="Q36" s="28" t="inlineStr">
        <is>
          <t>post-paper</t>
        </is>
      </c>
      <c r="R36" s="93" t="n">
        <v>133.570006</v>
      </c>
      <c r="S36" s="93" t="n">
        <v>801.401283</v>
      </c>
      <c r="T36" s="6" t="n">
        <v>12</v>
      </c>
      <c r="U36" s="6" t="n">
        <v>31558</v>
      </c>
      <c r="V36" s="6" t="n">
        <v>43515</v>
      </c>
      <c r="W36" s="6" t="n">
        <v>15559</v>
      </c>
      <c r="X36" s="6" t="inlineStr">
        <is>
          <t>AWS</t>
        </is>
      </c>
      <c r="Y36" s="6" t="inlineStr">
        <is>
          <t>ishangore</t>
        </is>
      </c>
      <c r="Z36" s="6" t="n">
        <v>93.11</v>
      </c>
      <c r="AA36" s="6" t="n">
        <v>54.54</v>
      </c>
      <c r="AB36" s="6" t="n">
        <v>220.62</v>
      </c>
      <c r="AC36" s="6" t="n">
        <v>801.33</v>
      </c>
      <c r="AD36" s="6" t="inlineStr">
        <is>
          <t> </t>
        </is>
      </c>
      <c r="AE36" s="74" t="inlineStr">
        <is>
          <t>burgers-ch-lbm/ch_q8_c1/2026-08-11/_b5c8743c/2a3cbfeb</t>
        </is>
      </c>
    </row>
    <row r="37" ht="17" customFormat="1" customHeight="1" s="6">
      <c r="A37" s="6" t="n">
        <v>29</v>
      </c>
      <c r="B37" s="11" t="inlineStr">
        <is>
          <t>C1 seam · k=4</t>
        </is>
      </c>
      <c r="C37" s="6" t="inlineStr">
        <is>
          <t>CH</t>
        </is>
      </c>
      <c r="D37" s="6" t="inlineStr">
        <is>
          <t>IBM Aer sim (AWS EC2)</t>
        </is>
      </c>
      <c r="E37" s="6" t="n">
        <v>8</v>
      </c>
      <c r="F37" s="6" t="n">
        <v>0.03</v>
      </c>
      <c r="G37" s="6" t="n">
        <v>0.3</v>
      </c>
      <c r="H37" s="6" t="n">
        <v>0.1</v>
      </c>
      <c r="I37" s="6">
        <f>N37*O37</f>
        <v/>
      </c>
      <c r="J37" s="6">
        <f>G37/F37</f>
        <v/>
      </c>
      <c r="K37" s="19" t="n">
        <v>131072</v>
      </c>
      <c r="L37" s="6" t="n">
        <v>4</v>
      </c>
      <c r="M37" s="6" t="n">
        <v>8</v>
      </c>
      <c r="N37" s="6" t="n">
        <v>4</v>
      </c>
      <c r="O37" s="6" t="n">
        <v>128</v>
      </c>
      <c r="P37" s="28" t="n"/>
      <c r="Q37" s="28" t="inlineStr">
        <is>
          <t>post-paper</t>
        </is>
      </c>
      <c r="R37" s="93" t="n">
        <v>82.24682799999999</v>
      </c>
      <c r="S37" s="93" t="n">
        <v>493.469424</v>
      </c>
      <c r="T37" s="6" t="n">
        <v>14</v>
      </c>
      <c r="U37" s="6" t="n">
        <v>62580</v>
      </c>
      <c r="V37" s="6" t="n">
        <v>86021</v>
      </c>
      <c r="W37" s="6" t="n">
        <v>30987</v>
      </c>
      <c r="X37" s="6" t="inlineStr">
        <is>
          <t>AWS</t>
        </is>
      </c>
      <c r="Y37" s="6" t="inlineStr">
        <is>
          <t>ishangore</t>
        </is>
      </c>
      <c r="Z37" s="6" t="n">
        <v>170.98</v>
      </c>
      <c r="AA37" s="6" t="n">
        <v>88.45</v>
      </c>
      <c r="AB37" s="6" t="n">
        <v>809.67</v>
      </c>
      <c r="AC37" s="6" t="n">
        <v>1125.39</v>
      </c>
      <c r="AD37" s="6" t="inlineStr">
        <is>
          <t> </t>
        </is>
      </c>
      <c r="AE37" s="74" t="inlineStr">
        <is>
          <t>burgers-ch-lbm/ch_q8_c1/2026-08-11/_b5c8743c/b15a9654</t>
        </is>
      </c>
    </row>
    <row r="38" ht="17" customFormat="1" customHeight="1" s="6">
      <c r="A38" s="6" t="n">
        <v>30</v>
      </c>
      <c r="B38" s="11" t="inlineStr">
        <is>
          <t>C1 seam · k=8</t>
        </is>
      </c>
      <c r="C38" s="6" t="inlineStr">
        <is>
          <t>CH</t>
        </is>
      </c>
      <c r="D38" s="6" t="inlineStr">
        <is>
          <t>IBM Aer sim (AWS EC2)</t>
        </is>
      </c>
      <c r="E38" s="6" t="n">
        <v>8</v>
      </c>
      <c r="F38" s="6" t="n">
        <v>0.03</v>
      </c>
      <c r="G38" s="6" t="n">
        <v>0.3</v>
      </c>
      <c r="H38" s="6" t="n">
        <v>0.1</v>
      </c>
      <c r="I38" s="6">
        <f>N38*O38</f>
        <v/>
      </c>
      <c r="J38" s="6">
        <f>G38/F38</f>
        <v/>
      </c>
      <c r="K38" s="19" t="n">
        <v>131072</v>
      </c>
      <c r="L38" s="6" t="n">
        <v>4</v>
      </c>
      <c r="M38" s="6" t="n">
        <v>8</v>
      </c>
      <c r="N38" s="6" t="n">
        <v>8</v>
      </c>
      <c r="O38" s="6" t="n">
        <v>64</v>
      </c>
      <c r="P38" s="28" t="n"/>
      <c r="Q38" s="28" t="inlineStr">
        <is>
          <t>post-paper</t>
        </is>
      </c>
      <c r="R38" s="93" t="n">
        <v>0.183552</v>
      </c>
      <c r="S38" s="93" t="n">
        <v>1.101285</v>
      </c>
      <c r="T38" s="6" t="n">
        <v>18</v>
      </c>
      <c r="U38" s="6" t="n">
        <v>124624</v>
      </c>
      <c r="V38" s="6" t="n">
        <v>171033</v>
      </c>
      <c r="W38" s="6" t="n">
        <v>61843</v>
      </c>
      <c r="X38" s="6" t="inlineStr">
        <is>
          <t>AWS</t>
        </is>
      </c>
      <c r="Y38" s="6" t="inlineStr">
        <is>
          <t>ishangore</t>
        </is>
      </c>
      <c r="Z38" s="6" t="n">
        <v>107.53</v>
      </c>
      <c r="AA38" s="6" t="n">
        <v>46.79</v>
      </c>
      <c r="AB38" s="6" t="n">
        <v>4045.27</v>
      </c>
      <c r="AC38" s="6" t="n">
        <v>4239.91</v>
      </c>
      <c r="AD38" s="6" t="inlineStr">
        <is>
          <t> </t>
        </is>
      </c>
      <c r="AE38" s="74" t="inlineStr">
        <is>
          <t>burgers-ch-lbm/ch_q8_c1/2026-08-11/_b5c8743c/39a1f5ab</t>
        </is>
      </c>
    </row>
    <row r="39" customFormat="1" s="39">
      <c r="A39" s="6" t="n">
        <v>31</v>
      </c>
      <c r="B39" s="11" t="inlineStr">
        <is>
          <t>C1 seam · k=16</t>
        </is>
      </c>
      <c r="C39" s="6" t="inlineStr">
        <is>
          <t>CH</t>
        </is>
      </c>
      <c r="D39" s="6" t="inlineStr">
        <is>
          <t>IBM Aer sim (AWS EC2)</t>
        </is>
      </c>
      <c r="E39" s="6" t="n">
        <v>8</v>
      </c>
      <c r="F39" s="6" t="n">
        <v>0.03</v>
      </c>
      <c r="G39" s="6" t="n">
        <v>0.3</v>
      </c>
      <c r="H39" s="6" t="n">
        <v>0.1</v>
      </c>
      <c r="I39" s="6">
        <f>N39*O39</f>
        <v/>
      </c>
      <c r="J39" s="6">
        <f>G39/F39</f>
        <v/>
      </c>
      <c r="K39" s="19" t="n">
        <v>131072</v>
      </c>
      <c r="L39" s="6" t="n">
        <v>4</v>
      </c>
      <c r="M39" s="6" t="n">
        <v>8</v>
      </c>
      <c r="N39" s="6" t="n">
        <v>16</v>
      </c>
      <c r="O39" s="6" t="n">
        <v>32</v>
      </c>
      <c r="P39" s="28" t="n"/>
      <c r="Q39" s="28" t="inlineStr">
        <is>
          <t>post-paper</t>
        </is>
      </c>
      <c r="R39" s="93" t="n">
        <v>0.07440099999999999</v>
      </c>
      <c r="S39" s="93" t="n">
        <v>0.446397</v>
      </c>
      <c r="T39" s="6" t="n">
        <v>26</v>
      </c>
      <c r="U39" s="6" t="n">
        <v>248712</v>
      </c>
      <c r="V39" s="6" t="n">
        <v>341057</v>
      </c>
      <c r="W39" s="6" t="n">
        <v>123555</v>
      </c>
      <c r="X39" s="6" t="inlineStr">
        <is>
          <t>AWS</t>
        </is>
      </c>
      <c r="Y39" s="6" t="inlineStr">
        <is>
          <t>ishangore</t>
        </is>
      </c>
      <c r="Z39" s="6" t="n">
        <v>70.45</v>
      </c>
      <c r="AA39" s="6" t="n">
        <v>38.73</v>
      </c>
      <c r="AB39" s="6" t="n">
        <v>92685.09</v>
      </c>
      <c r="AC39" s="6" t="n">
        <v>92827.3</v>
      </c>
      <c r="AD39" s="6" t="inlineStr">
        <is>
          <t> </t>
        </is>
      </c>
      <c r="AE39" s="74" t="inlineStr">
        <is>
          <t>burgers-ch-lbm/ch_q8_c1/2026-08-11/_b5c8743c/fe96b52e</t>
        </is>
      </c>
    </row>
    <row r="40" ht="17" customFormat="1" customHeight="1" s="7">
      <c r="B40" s="40" t="inlineStr">
        <is>
          <t>C2: CH shots study</t>
        </is>
      </c>
      <c r="K40" s="42" t="n"/>
      <c r="P40" s="41" t="n"/>
      <c r="Q40" s="41" t="n"/>
      <c r="R40" s="94" t="n"/>
      <c r="S40" s="94" t="n"/>
      <c r="AE40" s="75" t="n"/>
    </row>
    <row r="41" ht="17" customFormat="1" customHeight="1" s="7">
      <c r="A41" s="7" t="n">
        <v>32</v>
      </c>
      <c r="B41" s="12" t="inlineStr">
        <is>
          <t>C2 shots-ladder · shots=16384</t>
        </is>
      </c>
      <c r="C41" s="7" t="inlineStr">
        <is>
          <t>CH</t>
        </is>
      </c>
      <c r="D41" s="7" t="inlineStr">
        <is>
          <t>IBM Aer sim (AWS EC2)</t>
        </is>
      </c>
      <c r="E41" s="7" t="n">
        <v>8</v>
      </c>
      <c r="F41" s="7" t="n">
        <v>0.03</v>
      </c>
      <c r="G41" s="7" t="n">
        <v>0.3</v>
      </c>
      <c r="H41" s="7" t="n">
        <v>0.1</v>
      </c>
      <c r="I41" s="7">
        <f>N41*O41</f>
        <v/>
      </c>
      <c r="J41" s="7">
        <f>G41/F41</f>
        <v/>
      </c>
      <c r="K41" s="20" t="n">
        <v>16384</v>
      </c>
      <c r="L41" s="7" t="n">
        <v>4</v>
      </c>
      <c r="M41" s="7" t="n">
        <v>8</v>
      </c>
      <c r="N41" s="7" t="n">
        <v>8</v>
      </c>
      <c r="O41" s="7" t="n">
        <v>64</v>
      </c>
      <c r="P41" s="29" t="n"/>
      <c r="Q41" s="29" t="inlineStr">
        <is>
          <t>post-paper</t>
        </is>
      </c>
      <c r="R41" s="95" t="n">
        <v>60.881907</v>
      </c>
      <c r="S41" s="95" t="n">
        <v>365.282897</v>
      </c>
      <c r="T41" s="7" t="n">
        <v>18</v>
      </c>
      <c r="U41" s="7" t="n">
        <v>124624</v>
      </c>
      <c r="V41" s="7" t="n">
        <v>171033</v>
      </c>
      <c r="W41" s="7" t="n">
        <v>61843</v>
      </c>
      <c r="X41" s="7" t="inlineStr">
        <is>
          <t>AWS</t>
        </is>
      </c>
      <c r="Y41" s="7" t="inlineStr">
        <is>
          <t>ishangore</t>
        </is>
      </c>
      <c r="Z41" s="7" t="n">
        <v>298.57</v>
      </c>
      <c r="AA41" s="7" t="n">
        <v>118.76</v>
      </c>
      <c r="AB41" s="7" t="n">
        <v>12746.61</v>
      </c>
      <c r="AC41" s="7" t="n">
        <v>13247.65</v>
      </c>
      <c r="AD41" s="7" t="inlineStr">
        <is>
          <t> </t>
        </is>
      </c>
      <c r="AE41" s="76" t="inlineStr">
        <is>
          <t>burgers-ch-lbm/ch_q8_c2_k8/2026-08-12/_6fade974/c1e5d7e4</t>
        </is>
      </c>
    </row>
    <row r="42" ht="17" customFormat="1" customHeight="1" s="7">
      <c r="A42" s="7" t="n">
        <v>33</v>
      </c>
      <c r="B42" s="12" t="inlineStr">
        <is>
          <t>C2 shots-ladder · shots=65536</t>
        </is>
      </c>
      <c r="C42" s="7" t="inlineStr">
        <is>
          <t>CH</t>
        </is>
      </c>
      <c r="D42" s="7" t="inlineStr">
        <is>
          <t>IBM Aer sim (AWS EC2)</t>
        </is>
      </c>
      <c r="E42" s="7" t="n">
        <v>8</v>
      </c>
      <c r="F42" s="7" t="n">
        <v>0.03</v>
      </c>
      <c r="G42" s="7" t="n">
        <v>0.3</v>
      </c>
      <c r="H42" s="7" t="n">
        <v>0.1</v>
      </c>
      <c r="I42" s="7">
        <f>N42*O42</f>
        <v/>
      </c>
      <c r="J42" s="7">
        <f>G42/F42</f>
        <v/>
      </c>
      <c r="K42" s="20" t="n">
        <v>65536</v>
      </c>
      <c r="L42" s="7" t="n">
        <v>4</v>
      </c>
      <c r="M42" s="7" t="n">
        <v>8</v>
      </c>
      <c r="N42" s="7" t="n">
        <v>8</v>
      </c>
      <c r="O42" s="7" t="n">
        <v>64</v>
      </c>
      <c r="P42" s="29" t="n"/>
      <c r="Q42" s="29" t="inlineStr">
        <is>
          <t>post-paper</t>
        </is>
      </c>
      <c r="R42" s="95" t="n">
        <v>0.199902</v>
      </c>
      <c r="S42" s="95" t="n">
        <v>1.199382</v>
      </c>
      <c r="T42" s="7" t="n">
        <v>18</v>
      </c>
      <c r="U42" s="7" t="n">
        <v>124624</v>
      </c>
      <c r="V42" s="7" t="n">
        <v>171033</v>
      </c>
      <c r="W42" s="7" t="n">
        <v>61843</v>
      </c>
      <c r="X42" s="7" t="inlineStr">
        <is>
          <t>AWS</t>
        </is>
      </c>
      <c r="Y42" s="7" t="inlineStr">
        <is>
          <t>ishangore</t>
        </is>
      </c>
      <c r="Z42" s="7" t="n">
        <v>243.68</v>
      </c>
      <c r="AA42" s="7" t="n">
        <v>96.16</v>
      </c>
      <c r="AB42" s="7" t="n">
        <v>12833.56</v>
      </c>
      <c r="AC42" s="7" t="n">
        <v>13257.85</v>
      </c>
      <c r="AD42" s="7" t="inlineStr">
        <is>
          <t> </t>
        </is>
      </c>
      <c r="AE42" s="76" t="inlineStr">
        <is>
          <t>burgers-ch-lbm/ch_q8_c2_k8/2026-08-12/_6fade974/00e609d3</t>
        </is>
      </c>
    </row>
    <row r="43" ht="17" customFormat="1" customHeight="1" s="7">
      <c r="A43" s="7" t="n">
        <v>34</v>
      </c>
      <c r="B43" s="12" t="inlineStr">
        <is>
          <t>C2 shots-ladder · shots=131072</t>
        </is>
      </c>
      <c r="C43" s="7" t="inlineStr">
        <is>
          <t>CH</t>
        </is>
      </c>
      <c r="D43" s="7" t="inlineStr">
        <is>
          <t>IBM Aer sim (AWS EC2)</t>
        </is>
      </c>
      <c r="E43" s="7" t="n">
        <v>8</v>
      </c>
      <c r="F43" s="7" t="n">
        <v>0.03</v>
      </c>
      <c r="G43" s="7" t="n">
        <v>0.3</v>
      </c>
      <c r="H43" s="7" t="n">
        <v>0.1</v>
      </c>
      <c r="I43" s="7">
        <f>N43*O43</f>
        <v/>
      </c>
      <c r="J43" s="7">
        <f>G43/F43</f>
        <v/>
      </c>
      <c r="K43" s="20" t="n">
        <v>131072</v>
      </c>
      <c r="L43" s="7" t="n">
        <v>4</v>
      </c>
      <c r="M43" s="7" t="n">
        <v>8</v>
      </c>
      <c r="N43" s="7" t="n">
        <v>8</v>
      </c>
      <c r="O43" s="7" t="n">
        <v>64</v>
      </c>
      <c r="P43" s="29" t="n"/>
      <c r="Q43" s="29" t="inlineStr">
        <is>
          <t>post-paper</t>
        </is>
      </c>
      <c r="R43" s="95" t="n">
        <v>0.183552</v>
      </c>
      <c r="S43" s="95" t="n">
        <v>1.101285</v>
      </c>
      <c r="T43" s="7" t="n">
        <v>18</v>
      </c>
      <c r="U43" s="7" t="n">
        <v>124624</v>
      </c>
      <c r="V43" s="7" t="n">
        <v>171033</v>
      </c>
      <c r="W43" s="7" t="n">
        <v>61843</v>
      </c>
      <c r="X43" s="7" t="inlineStr">
        <is>
          <t>AWS</t>
        </is>
      </c>
      <c r="Y43" s="7" t="inlineStr">
        <is>
          <t>ishangore</t>
        </is>
      </c>
      <c r="Z43" s="7" t="n">
        <v>285.98</v>
      </c>
      <c r="AA43" s="7" t="n">
        <v>119.43</v>
      </c>
      <c r="AB43" s="7" t="n">
        <v>12762.77</v>
      </c>
      <c r="AC43" s="7" t="n">
        <v>13257.83</v>
      </c>
      <c r="AD43" s="7" t="inlineStr">
        <is>
          <t> </t>
        </is>
      </c>
      <c r="AE43" s="76" t="inlineStr">
        <is>
          <t>burgers-ch-lbm/ch_q8_c2_k8/2026-08-12/_6fade974/1cc667ab</t>
        </is>
      </c>
    </row>
    <row r="44" ht="17" customFormat="1" customHeight="1" s="7">
      <c r="A44" s="7" t="n">
        <v>35</v>
      </c>
      <c r="B44" s="12" t="inlineStr">
        <is>
          <t>C2 shots-ladder · shots=524288</t>
        </is>
      </c>
      <c r="C44" s="7" t="inlineStr">
        <is>
          <t>CH</t>
        </is>
      </c>
      <c r="D44" s="7" t="inlineStr">
        <is>
          <t>IBM Aer sim (AWS EC2)</t>
        </is>
      </c>
      <c r="E44" s="7" t="n">
        <v>8</v>
      </c>
      <c r="F44" s="7" t="n">
        <v>0.03</v>
      </c>
      <c r="G44" s="7" t="n">
        <v>0.3</v>
      </c>
      <c r="H44" s="7" t="n">
        <v>0.1</v>
      </c>
      <c r="I44" s="7">
        <f>N44*O44</f>
        <v/>
      </c>
      <c r="J44" s="7">
        <f>G44/F44</f>
        <v/>
      </c>
      <c r="K44" s="20" t="n">
        <v>524288</v>
      </c>
      <c r="L44" s="7" t="n">
        <v>4</v>
      </c>
      <c r="M44" s="7" t="n">
        <v>8</v>
      </c>
      <c r="N44" s="7" t="n">
        <v>8</v>
      </c>
      <c r="O44" s="7" t="n">
        <v>64</v>
      </c>
      <c r="P44" s="29" t="n"/>
      <c r="Q44" s="29" t="inlineStr">
        <is>
          <t>post-paper</t>
        </is>
      </c>
      <c r="R44" s="95" t="n">
        <v>0.086907</v>
      </c>
      <c r="S44" s="95" t="n">
        <v>0.5214299999999999</v>
      </c>
      <c r="T44" s="7" t="n">
        <v>18</v>
      </c>
      <c r="U44" s="7" t="n">
        <v>124624</v>
      </c>
      <c r="V44" s="7" t="n">
        <v>171033</v>
      </c>
      <c r="W44" s="7" t="n">
        <v>61843</v>
      </c>
      <c r="X44" s="7" t="inlineStr">
        <is>
          <t>AWS</t>
        </is>
      </c>
      <c r="Y44" s="7" t="inlineStr">
        <is>
          <t>ishangore</t>
        </is>
      </c>
      <c r="Z44" s="7" t="n">
        <v>358.19</v>
      </c>
      <c r="AA44" s="7" t="n">
        <v>145.2</v>
      </c>
      <c r="AB44" s="7" t="n">
        <v>12616.34</v>
      </c>
      <c r="AC44" s="7" t="n">
        <v>13218.02</v>
      </c>
      <c r="AD44" s="7" t="inlineStr">
        <is>
          <t> </t>
        </is>
      </c>
      <c r="AE44" s="76" t="inlineStr">
        <is>
          <t>burgers-ch-lbm/ch_q8_c2_k8/2026-08-12/_6fade974/3dcb7c60</t>
        </is>
      </c>
    </row>
    <row r="45">
      <c r="A45" s="7" t="n">
        <v>36</v>
      </c>
      <c r="B45" s="12" t="inlineStr">
        <is>
          <t>C2 shots-ladder · shots=1048576</t>
        </is>
      </c>
      <c r="C45" s="7" t="inlineStr">
        <is>
          <t>CH</t>
        </is>
      </c>
      <c r="D45" s="7" t="inlineStr">
        <is>
          <t>IBM Aer sim (AWS EC2)</t>
        </is>
      </c>
      <c r="E45" s="7" t="n">
        <v>8</v>
      </c>
      <c r="F45" s="7" t="n">
        <v>0.03</v>
      </c>
      <c r="G45" s="7" t="n">
        <v>0.3</v>
      </c>
      <c r="H45" s="7" t="n">
        <v>0.1</v>
      </c>
      <c r="I45" s="7">
        <f>N45*O45</f>
        <v/>
      </c>
      <c r="J45" s="7">
        <f>G45/F45</f>
        <v/>
      </c>
      <c r="K45" s="20" t="n">
        <v>1048576</v>
      </c>
      <c r="L45" s="7" t="n">
        <v>4</v>
      </c>
      <c r="M45" s="7" t="n">
        <v>8</v>
      </c>
      <c r="N45" s="7" t="n">
        <v>8</v>
      </c>
      <c r="O45" s="7" t="n">
        <v>64</v>
      </c>
      <c r="P45" s="29" t="n"/>
      <c r="Q45" s="29" t="inlineStr">
        <is>
          <t>post-paper</t>
        </is>
      </c>
      <c r="R45" s="95" t="n">
        <v>0.047699</v>
      </c>
      <c r="S45" s="95" t="n">
        <v>0.286186</v>
      </c>
      <c r="T45" s="7" t="n">
        <v>18</v>
      </c>
      <c r="U45" s="7" t="n">
        <v>124624</v>
      </c>
      <c r="V45" s="7" t="n">
        <v>171033</v>
      </c>
      <c r="W45" s="7" t="n">
        <v>61843</v>
      </c>
      <c r="X45" s="7" t="inlineStr">
        <is>
          <t>AWS</t>
        </is>
      </c>
      <c r="Y45" s="7" t="inlineStr">
        <is>
          <t>ishangore</t>
        </is>
      </c>
      <c r="Z45" s="7" t="n">
        <v>274.97</v>
      </c>
      <c r="AA45" s="7" t="n">
        <v>118.92</v>
      </c>
      <c r="AB45" s="7" t="n">
        <v>12772.73</v>
      </c>
      <c r="AC45" s="7" t="n">
        <v>13259.02</v>
      </c>
      <c r="AD45" s="7" t="inlineStr">
        <is>
          <t> </t>
        </is>
      </c>
      <c r="AE45" s="76" t="inlineStr">
        <is>
          <t>burgers-ch-lbm/ch_q8_c2_k8/2026-08-12/_6fade974/70416813</t>
        </is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q</t>
        </is>
      </c>
      <c r="C1" t="inlineStr">
        <is>
          <t>nu</t>
        </is>
      </c>
      <c r="D1" t="inlineStr">
        <is>
          <t>A</t>
        </is>
      </c>
      <c r="E1" t="inlineStr">
        <is>
          <t>cfl</t>
        </is>
      </c>
      <c r="F1" t="inlineStr">
        <is>
          <t>steps</t>
        </is>
      </c>
      <c r="G1" t="inlineStr">
        <is>
          <t>Re</t>
        </is>
      </c>
      <c r="H1" t="inlineStr">
        <is>
          <t>Shots</t>
        </is>
      </c>
      <c r="I1" t="inlineStr">
        <is>
          <t>Bond dim</t>
        </is>
      </c>
      <c r="J1" t="inlineStr">
        <is>
          <t>Phi modes</t>
        </is>
      </c>
      <c r="K1" t="inlineStr">
        <is>
          <t>In-segment k</t>
        </is>
      </c>
      <c r="L1" t="inlineStr">
        <is>
          <t>Segments</t>
        </is>
      </c>
      <c r="M1" t="inlineStr">
        <is>
          <t>L2 (rel vs FTCS)</t>
        </is>
      </c>
      <c r="N1" t="inlineStr">
        <is>
          <t>cos</t>
        </is>
      </c>
      <c r="O1" t="inlineStr">
        <is>
          <t>FTCS ref-points</t>
        </is>
      </c>
      <c r="P1" t="inlineStr">
        <is>
          <t>FTCS grid</t>
        </is>
      </c>
      <c r="Q1" t="inlineStr">
        <is>
          <t>pts/shock (ref)</t>
        </is>
      </c>
      <c r="R1" t="inlineStr">
        <is>
          <t>wall s</t>
        </is>
      </c>
      <c r="S1" t="inlineStr">
        <is>
          <t>verdict</t>
        </is>
      </c>
      <c r="T1" t="inlineStr">
        <is>
          <t>results/ dir</t>
        </is>
      </c>
    </row>
    <row r="2">
      <c r="A2" t="inlineStr">
        <is>
          <t>CH</t>
        </is>
      </c>
      <c r="B2" t="n">
        <v>8</v>
      </c>
      <c r="C2" t="n">
        <v>0.15</v>
      </c>
      <c r="D2" t="n">
        <v>0.3</v>
      </c>
      <c r="E2" t="n">
        <v>0.1</v>
      </c>
      <c r="F2" t="n">
        <v>512</v>
      </c>
      <c r="G2" t="n">
        <v>2</v>
      </c>
      <c r="H2" t="n">
        <v>0</v>
      </c>
      <c r="I2" t="n">
        <v>4</v>
      </c>
      <c r="J2" t="n">
        <v>8</v>
      </c>
      <c r="K2" t="n">
        <v>512</v>
      </c>
      <c r="L2" t="n">
        <v>1</v>
      </c>
      <c r="M2" t="n">
        <v>9.000000000000001e-05</v>
      </c>
      <c r="N2" t="n">
        <v>1</v>
      </c>
      <c r="O2" t="n">
        <v>800</v>
      </c>
      <c r="P2" t="n">
        <v>1024</v>
      </c>
      <c r="Q2" t="n">
        <v>512</v>
      </c>
      <c r="R2" t="n">
        <v>124.8</v>
      </c>
      <c r="S2" t="inlineStr">
        <is>
          <t>good</t>
        </is>
      </c>
      <c r="T2" t="inlineStr">
        <is>
          <t>results/burgers-ch-lbm/ch_q8_nu_domain_single/2026-09-02/_ce436320/06c51167</t>
        </is>
      </c>
    </row>
    <row r="3">
      <c r="A3" t="inlineStr">
        <is>
          <t>CH</t>
        </is>
      </c>
      <c r="B3" t="n">
        <v>8</v>
      </c>
      <c r="C3" t="n">
        <v>0.12</v>
      </c>
      <c r="D3" t="n">
        <v>0.3</v>
      </c>
      <c r="E3" t="n">
        <v>0.1</v>
      </c>
      <c r="F3" t="n">
        <v>512</v>
      </c>
      <c r="G3" t="n">
        <v>2.5</v>
      </c>
      <c r="H3" t="n">
        <v>0</v>
      </c>
      <c r="I3" t="n">
        <v>4</v>
      </c>
      <c r="J3" t="n">
        <v>8</v>
      </c>
      <c r="K3" t="n">
        <v>512</v>
      </c>
      <c r="L3" t="n">
        <v>1</v>
      </c>
      <c r="M3" t="n">
        <v>0.000103</v>
      </c>
      <c r="N3" t="n">
        <v>1</v>
      </c>
      <c r="O3" t="n">
        <v>800</v>
      </c>
      <c r="P3" t="n">
        <v>1024</v>
      </c>
      <c r="Q3" t="n">
        <v>409.6</v>
      </c>
      <c r="R3" t="n">
        <v>125.6</v>
      </c>
      <c r="S3" t="inlineStr">
        <is>
          <t>good</t>
        </is>
      </c>
      <c r="T3" t="inlineStr">
        <is>
          <t>results/burgers-ch-lbm/ch_q8_nu_domain_single/2026-09-02/_ce436320/fe7a219e</t>
        </is>
      </c>
    </row>
    <row r="4">
      <c r="A4" t="inlineStr">
        <is>
          <t>CH</t>
        </is>
      </c>
      <c r="B4" t="n">
        <v>8</v>
      </c>
      <c r="C4" t="n">
        <v>0.08</v>
      </c>
      <c r="D4" t="n">
        <v>0.3</v>
      </c>
      <c r="E4" t="n">
        <v>0.1</v>
      </c>
      <c r="F4" t="n">
        <v>512</v>
      </c>
      <c r="G4" t="n">
        <v>3.8</v>
      </c>
      <c r="H4" t="n">
        <v>0</v>
      </c>
      <c r="I4" t="n">
        <v>4</v>
      </c>
      <c r="J4" t="n">
        <v>8</v>
      </c>
      <c r="K4" t="n">
        <v>512</v>
      </c>
      <c r="L4" t="n">
        <v>1</v>
      </c>
      <c r="M4" t="n">
        <v>0.000123</v>
      </c>
      <c r="N4" t="n">
        <v>1</v>
      </c>
      <c r="O4" t="n">
        <v>800</v>
      </c>
      <c r="P4" t="n">
        <v>1024</v>
      </c>
      <c r="Q4" t="n">
        <v>273.1</v>
      </c>
      <c r="R4" t="n">
        <v>126</v>
      </c>
      <c r="S4" t="inlineStr">
        <is>
          <t>good</t>
        </is>
      </c>
      <c r="T4" t="inlineStr">
        <is>
          <t>results/burgers-ch-lbm/ch_q8_nu_domain_single/2026-09-02/_ce436320/348e98f5</t>
        </is>
      </c>
    </row>
    <row r="5">
      <c r="A5" t="inlineStr">
        <is>
          <t>CH</t>
        </is>
      </c>
      <c r="B5" t="n">
        <v>8</v>
      </c>
      <c r="C5" t="n">
        <v>0.05</v>
      </c>
      <c r="D5" t="n">
        <v>0.3</v>
      </c>
      <c r="E5" t="n">
        <v>0.1</v>
      </c>
      <c r="F5" t="n">
        <v>512</v>
      </c>
      <c r="G5" t="n">
        <v>6</v>
      </c>
      <c r="H5" t="n">
        <v>0</v>
      </c>
      <c r="I5" t="n">
        <v>4</v>
      </c>
      <c r="J5" t="n">
        <v>8</v>
      </c>
      <c r="K5" t="n">
        <v>512</v>
      </c>
      <c r="L5" t="n">
        <v>1</v>
      </c>
      <c r="M5" t="n">
        <v>0.000144</v>
      </c>
      <c r="N5" t="n">
        <v>1</v>
      </c>
      <c r="O5" t="n">
        <v>800</v>
      </c>
      <c r="P5" t="n">
        <v>1024</v>
      </c>
      <c r="Q5" t="n">
        <v>170.7</v>
      </c>
      <c r="R5" t="n">
        <v>126.8</v>
      </c>
      <c r="S5" t="inlineStr">
        <is>
          <t>good</t>
        </is>
      </c>
      <c r="T5" t="inlineStr">
        <is>
          <t>results/burgers-ch-lbm/ch_q8_nu_domain_single/2026-09-02/_ce436320/fd1a816f</t>
        </is>
      </c>
    </row>
    <row r="6">
      <c r="A6" t="inlineStr">
        <is>
          <t>CH</t>
        </is>
      </c>
      <c r="B6" t="n">
        <v>8</v>
      </c>
      <c r="C6" t="n">
        <v>0.03</v>
      </c>
      <c r="D6" t="n">
        <v>0.3</v>
      </c>
      <c r="E6" t="n">
        <v>0.1</v>
      </c>
      <c r="F6" t="n">
        <v>512</v>
      </c>
      <c r="G6" t="n">
        <v>10</v>
      </c>
      <c r="H6" t="n">
        <v>0</v>
      </c>
      <c r="I6" t="n">
        <v>4</v>
      </c>
      <c r="J6" t="n">
        <v>8</v>
      </c>
      <c r="K6" t="n">
        <v>512</v>
      </c>
      <c r="L6" t="n">
        <v>1</v>
      </c>
      <c r="M6" t="n">
        <v>0.000169</v>
      </c>
      <c r="N6" t="n">
        <v>1</v>
      </c>
      <c r="O6" t="n">
        <v>800</v>
      </c>
      <c r="P6" t="n">
        <v>1024</v>
      </c>
      <c r="Q6" t="n">
        <v>102.4</v>
      </c>
      <c r="R6" t="n">
        <v>126.9</v>
      </c>
      <c r="S6" t="inlineStr">
        <is>
          <t>good</t>
        </is>
      </c>
      <c r="T6" t="inlineStr">
        <is>
          <t>results/burgers-ch-lbm/ch_q8_nu_domain_single/2026-09-02/_ce436320/30cbb15a</t>
        </is>
      </c>
    </row>
    <row r="7">
      <c r="A7" t="inlineStr">
        <is>
          <t>CH</t>
        </is>
      </c>
      <c r="B7" t="n">
        <v>8</v>
      </c>
      <c r="C7" t="n">
        <v>0.02</v>
      </c>
      <c r="D7" t="n">
        <v>0.3</v>
      </c>
      <c r="E7" t="n">
        <v>0.1</v>
      </c>
      <c r="F7" t="n">
        <v>512</v>
      </c>
      <c r="G7" t="n">
        <v>15</v>
      </c>
      <c r="H7" t="n">
        <v>0</v>
      </c>
      <c r="I7" t="n">
        <v>4</v>
      </c>
      <c r="J7" t="n">
        <v>8</v>
      </c>
      <c r="K7" t="n">
        <v>512</v>
      </c>
      <c r="L7" t="n">
        <v>1</v>
      </c>
      <c r="M7" t="n">
        <v>0.000187</v>
      </c>
      <c r="N7" t="n">
        <v>1</v>
      </c>
      <c r="O7" t="n">
        <v>800</v>
      </c>
      <c r="P7" t="n">
        <v>1024</v>
      </c>
      <c r="Q7" t="n">
        <v>68.3</v>
      </c>
      <c r="R7" t="n">
        <v>125.7</v>
      </c>
      <c r="S7" t="inlineStr">
        <is>
          <t>good</t>
        </is>
      </c>
      <c r="T7" t="inlineStr">
        <is>
          <t>results/burgers-ch-lbm/ch_q8_nu_domain_single/2026-09-02/_ce436320/9c1fdede</t>
        </is>
      </c>
    </row>
    <row r="8">
      <c r="A8" t="inlineStr">
        <is>
          <t>CH</t>
        </is>
      </c>
      <c r="B8" t="n">
        <v>8</v>
      </c>
      <c r="C8" t="n">
        <v>0.015</v>
      </c>
      <c r="D8" t="n">
        <v>0.3</v>
      </c>
      <c r="E8" t="n">
        <v>0.1</v>
      </c>
      <c r="F8" t="n">
        <v>512</v>
      </c>
      <c r="G8" t="n">
        <v>20</v>
      </c>
      <c r="H8" t="n">
        <v>0</v>
      </c>
      <c r="I8" t="n">
        <v>4</v>
      </c>
      <c r="J8" t="n">
        <v>8</v>
      </c>
      <c r="K8" t="n">
        <v>512</v>
      </c>
      <c r="L8" t="n">
        <v>1</v>
      </c>
      <c r="M8" t="n">
        <v>0.000199</v>
      </c>
      <c r="N8" t="n">
        <v>1</v>
      </c>
      <c r="O8" t="n">
        <v>800</v>
      </c>
      <c r="P8" t="n">
        <v>1024</v>
      </c>
      <c r="Q8" t="n">
        <v>51.2</v>
      </c>
      <c r="R8" t="n">
        <v>126.9</v>
      </c>
      <c r="S8" t="inlineStr">
        <is>
          <t>good</t>
        </is>
      </c>
      <c r="T8" t="inlineStr">
        <is>
          <t>results/burgers-ch-lbm/ch_q8_nu_domain_single/2026-09-02/_ce436320/228678ea</t>
        </is>
      </c>
    </row>
    <row r="9">
      <c r="A9" t="inlineStr">
        <is>
          <t>CH</t>
        </is>
      </c>
      <c r="B9" t="n">
        <v>8</v>
      </c>
      <c r="C9" t="n">
        <v>0.01</v>
      </c>
      <c r="D9" t="n">
        <v>0.3</v>
      </c>
      <c r="E9" t="n">
        <v>0.1</v>
      </c>
      <c r="F9" t="n">
        <v>512</v>
      </c>
      <c r="G9" t="n">
        <v>30</v>
      </c>
      <c r="H9" t="n">
        <v>0</v>
      </c>
      <c r="I9" t="n">
        <v>4</v>
      </c>
      <c r="J9" t="n">
        <v>8</v>
      </c>
      <c r="K9" t="n">
        <v>512</v>
      </c>
      <c r="L9" t="n">
        <v>1</v>
      </c>
      <c r="M9" t="n">
        <v>0.000216</v>
      </c>
      <c r="N9" t="n">
        <v>1</v>
      </c>
      <c r="O9" t="n">
        <v>800</v>
      </c>
      <c r="P9" t="n">
        <v>1024</v>
      </c>
      <c r="Q9" t="n">
        <v>34.1</v>
      </c>
      <c r="R9" t="n">
        <v>126.6</v>
      </c>
      <c r="S9" t="inlineStr">
        <is>
          <t>good</t>
        </is>
      </c>
      <c r="T9" t="inlineStr">
        <is>
          <t>results/burgers-ch-lbm/ch_q8_nu_domain_single/2026-09-02/_ce436320/e6304c93</t>
        </is>
      </c>
    </row>
    <row r="10">
      <c r="A10" t="inlineStr">
        <is>
          <t>CH</t>
        </is>
      </c>
      <c r="B10" t="n">
        <v>8</v>
      </c>
      <c r="C10" t="n">
        <v>0.0075</v>
      </c>
      <c r="D10" t="n">
        <v>0.3</v>
      </c>
      <c r="E10" t="n">
        <v>0.1</v>
      </c>
      <c r="F10" t="n">
        <v>512</v>
      </c>
      <c r="G10" t="n">
        <v>40</v>
      </c>
      <c r="H10" t="n">
        <v>0</v>
      </c>
      <c r="I10" t="n">
        <v>4</v>
      </c>
      <c r="J10" t="n">
        <v>8</v>
      </c>
      <c r="K10" t="n">
        <v>512</v>
      </c>
      <c r="L10" t="n">
        <v>1</v>
      </c>
      <c r="M10" t="n">
        <v>0.000274</v>
      </c>
      <c r="N10" t="n">
        <v>1</v>
      </c>
      <c r="O10" t="n">
        <v>800</v>
      </c>
      <c r="P10" t="n">
        <v>1024</v>
      </c>
      <c r="Q10" t="n">
        <v>25.6</v>
      </c>
      <c r="R10" t="n">
        <v>127</v>
      </c>
      <c r="S10" t="inlineStr">
        <is>
          <t>good</t>
        </is>
      </c>
      <c r="T10" t="inlineStr">
        <is>
          <t>results/burgers-ch-lbm/ch_q8_nu_domain_single/2026-09-02/_ce436320/f10c17bc</t>
        </is>
      </c>
    </row>
    <row r="11">
      <c r="A11" t="inlineStr">
        <is>
          <t>CH</t>
        </is>
      </c>
      <c r="B11" t="n">
        <v>8</v>
      </c>
      <c r="C11" t="n">
        <v>0.005</v>
      </c>
      <c r="D11" t="n">
        <v>0.3</v>
      </c>
      <c r="E11" t="n">
        <v>0.1</v>
      </c>
      <c r="F11" t="n">
        <v>512</v>
      </c>
      <c r="G11" t="n">
        <v>60</v>
      </c>
      <c r="H11" t="n">
        <v>0</v>
      </c>
      <c r="I11" t="n">
        <v>4</v>
      </c>
      <c r="J11" t="n">
        <v>8</v>
      </c>
      <c r="K11" t="n">
        <v>512</v>
      </c>
      <c r="L11" t="n">
        <v>1</v>
      </c>
      <c r="M11" t="n">
        <v>0.001314</v>
      </c>
      <c r="N11" t="n">
        <v>1</v>
      </c>
      <c r="O11" t="n">
        <v>800</v>
      </c>
      <c r="P11" t="n">
        <v>1024</v>
      </c>
      <c r="Q11" t="n">
        <v>17.1</v>
      </c>
      <c r="R11" t="n">
        <v>126.9</v>
      </c>
      <c r="S11" t="inlineStr">
        <is>
          <t>good</t>
        </is>
      </c>
      <c r="T11" t="inlineStr">
        <is>
          <t>results/burgers-ch-lbm/ch_q8_nu_domain_single/2026-09-02/_ce436320/1fe02bfd</t>
        </is>
      </c>
    </row>
    <row r="12">
      <c r="A12" t="inlineStr">
        <is>
          <t>CH</t>
        </is>
      </c>
      <c r="B12" t="n">
        <v>8</v>
      </c>
      <c r="C12" t="n">
        <v>0.003</v>
      </c>
      <c r="D12" t="n">
        <v>0.3</v>
      </c>
      <c r="E12" t="n">
        <v>0.1</v>
      </c>
      <c r="F12" t="n">
        <v>512</v>
      </c>
      <c r="G12" t="n">
        <v>100</v>
      </c>
      <c r="H12" t="n">
        <v>0</v>
      </c>
      <c r="I12" t="n">
        <v>4</v>
      </c>
      <c r="J12" t="n">
        <v>8</v>
      </c>
      <c r="K12" t="n">
        <v>512</v>
      </c>
      <c r="L12" t="n">
        <v>1</v>
      </c>
      <c r="M12" t="n">
        <v>0.021698</v>
      </c>
      <c r="N12" t="n">
        <v>0.9998</v>
      </c>
      <c r="O12" t="n">
        <v>800</v>
      </c>
      <c r="P12" t="n">
        <v>1024</v>
      </c>
      <c r="Q12" t="n">
        <v>10.2</v>
      </c>
      <c r="R12" t="n">
        <v>125.9</v>
      </c>
      <c r="S12" t="inlineStr">
        <is>
          <t>good</t>
        </is>
      </c>
      <c r="T12" t="inlineStr">
        <is>
          <t>results/burgers-ch-lbm/ch_q8_nu_domain_single/2026-09-02/_ce436320/7ce83601</t>
        </is>
      </c>
    </row>
    <row r="13">
      <c r="A13" t="inlineStr">
        <is>
          <t>CH</t>
        </is>
      </c>
      <c r="B13" t="n">
        <v>8</v>
      </c>
      <c r="C13" t="n">
        <v>0.0025</v>
      </c>
      <c r="D13" t="n">
        <v>0.3</v>
      </c>
      <c r="E13" t="n">
        <v>0.1</v>
      </c>
      <c r="F13" t="n">
        <v>512</v>
      </c>
      <c r="G13" t="n">
        <v>120</v>
      </c>
      <c r="H13" t="n">
        <v>0</v>
      </c>
      <c r="I13" t="n">
        <v>4</v>
      </c>
      <c r="J13" t="n">
        <v>8</v>
      </c>
      <c r="K13" t="n">
        <v>512</v>
      </c>
      <c r="L13" t="n">
        <v>1</v>
      </c>
      <c r="M13" t="n">
        <v>0.065762</v>
      </c>
      <c r="N13" t="n">
        <v>0.9978</v>
      </c>
      <c r="O13" t="n">
        <v>800</v>
      </c>
      <c r="P13" t="n">
        <v>1024</v>
      </c>
      <c r="Q13" t="n">
        <v>8.5</v>
      </c>
      <c r="R13" t="n">
        <v>125.4</v>
      </c>
      <c r="S13" t="inlineStr">
        <is>
          <t>good</t>
        </is>
      </c>
      <c r="T13" t="inlineStr">
        <is>
          <t>results/burgers-ch-lbm/ch_q8_nu_domain_single/2026-09-02/_ce436320/9c3d431d</t>
        </is>
      </c>
    </row>
    <row r="14">
      <c r="A14" t="inlineStr">
        <is>
          <t>CH</t>
        </is>
      </c>
      <c r="B14" t="n">
        <v>8</v>
      </c>
      <c r="C14" t="n">
        <v>0.002</v>
      </c>
      <c r="D14" t="n">
        <v>0.3</v>
      </c>
      <c r="E14" t="n">
        <v>0.1</v>
      </c>
      <c r="F14" t="n">
        <v>512</v>
      </c>
      <c r="G14" t="n">
        <v>150</v>
      </c>
      <c r="H14" t="n">
        <v>0</v>
      </c>
      <c r="I14" t="n">
        <v>4</v>
      </c>
      <c r="J14" t="n">
        <v>8</v>
      </c>
      <c r="K14" t="n">
        <v>512</v>
      </c>
      <c r="L14" t="n">
        <v>1</v>
      </c>
      <c r="M14" t="n">
        <v>0.401215</v>
      </c>
      <c r="N14" t="n">
        <v>0.9298</v>
      </c>
      <c r="O14" t="n">
        <v>1280</v>
      </c>
      <c r="P14" t="n">
        <v>1280</v>
      </c>
      <c r="Q14" t="n">
        <v>8.5</v>
      </c>
      <c r="R14" t="n">
        <v>46.7</v>
      </c>
      <c r="S14" t="inlineStr">
        <is>
          <t>good</t>
        </is>
      </c>
      <c r="T14" t="inlineStr">
        <is>
          <t>results/burgers-ch-lbm/ch_q8_nu_domain_single/2026-09-02/_83f4f49e/0db1b897</t>
        </is>
      </c>
    </row>
    <row r="15">
      <c r="A15" t="inlineStr">
        <is>
          <t>CH</t>
        </is>
      </c>
      <c r="B15" t="n">
        <v>8</v>
      </c>
      <c r="C15" t="n">
        <v>0.0015</v>
      </c>
      <c r="D15" t="n">
        <v>0.3</v>
      </c>
      <c r="E15" t="n">
        <v>0.1</v>
      </c>
      <c r="F15" t="n">
        <v>512</v>
      </c>
      <c r="G15" t="n">
        <v>200</v>
      </c>
      <c r="H15" t="n">
        <v>0</v>
      </c>
      <c r="I15" t="n">
        <v>4</v>
      </c>
      <c r="J15" t="n">
        <v>8</v>
      </c>
      <c r="K15" t="n">
        <v>512</v>
      </c>
      <c r="L15" t="n">
        <v>1</v>
      </c>
      <c r="M15" t="n">
        <v>13.292014</v>
      </c>
      <c r="N15" t="n">
        <v>0.1025</v>
      </c>
      <c r="O15" t="n">
        <v>1536</v>
      </c>
      <c r="P15" t="n">
        <v>1536</v>
      </c>
      <c r="Q15" t="n">
        <v>7.7</v>
      </c>
      <c r="R15" t="n">
        <v>46.6</v>
      </c>
      <c r="S15" t="inlineStr">
        <is>
          <t>diverged</t>
        </is>
      </c>
      <c r="T15" t="inlineStr">
        <is>
          <t>results/burgers-ch-lbm/ch_q8_nu_domain_single/2026-09-02/_83f4f49e/1119f098</t>
        </is>
      </c>
    </row>
    <row r="16">
      <c r="A16" t="inlineStr">
        <is>
          <t>CH</t>
        </is>
      </c>
      <c r="B16" t="n">
        <v>8</v>
      </c>
      <c r="C16" t="n">
        <v>0.001</v>
      </c>
      <c r="D16" t="n">
        <v>0.3</v>
      </c>
      <c r="E16" t="n">
        <v>0.1</v>
      </c>
      <c r="F16" t="n">
        <v>512</v>
      </c>
      <c r="G16" t="n">
        <v>300</v>
      </c>
      <c r="H16" t="n">
        <v>0</v>
      </c>
      <c r="I16" t="n">
        <v>4</v>
      </c>
      <c r="J16" t="n">
        <v>8</v>
      </c>
      <c r="K16" t="n">
        <v>512</v>
      </c>
      <c r="L16" t="n">
        <v>1</v>
      </c>
      <c r="M16" t="n">
        <v>13.542119</v>
      </c>
      <c r="N16" t="n">
        <v>0.0398</v>
      </c>
      <c r="O16" t="n">
        <v>2048</v>
      </c>
      <c r="P16" t="n">
        <v>2048</v>
      </c>
      <c r="Q16" t="n">
        <v>6.8</v>
      </c>
      <c r="R16" t="n">
        <v>46.5</v>
      </c>
      <c r="S16" t="inlineStr">
        <is>
          <t>diverged</t>
        </is>
      </c>
      <c r="T16" t="inlineStr">
        <is>
          <t>results/burgers-ch-lbm/ch_q8_nu_domain_single/2026-09-02/_83f4f49e/460ff75e</t>
        </is>
      </c>
    </row>
    <row r="17">
      <c r="A17" t="inlineStr">
        <is>
          <t>CH</t>
        </is>
      </c>
      <c r="B17" t="n">
        <v>8</v>
      </c>
      <c r="C17" t="n">
        <v>0.00075</v>
      </c>
      <c r="D17" t="n">
        <v>0.3</v>
      </c>
      <c r="E17" t="n">
        <v>0.1</v>
      </c>
      <c r="F17" t="n">
        <v>512</v>
      </c>
      <c r="G17" t="n">
        <v>400</v>
      </c>
      <c r="H17" t="n">
        <v>0</v>
      </c>
      <c r="I17" t="n">
        <v>4</v>
      </c>
      <c r="J17" t="n">
        <v>8</v>
      </c>
      <c r="K17" t="n">
        <v>512</v>
      </c>
      <c r="L17" t="n">
        <v>1</v>
      </c>
      <c r="M17" t="n">
        <v>7.065775</v>
      </c>
      <c r="N17" t="n">
        <v>0.041</v>
      </c>
      <c r="O17" t="n">
        <v>2816</v>
      </c>
      <c r="P17" t="n">
        <v>2816</v>
      </c>
      <c r="Q17" t="n">
        <v>7</v>
      </c>
      <c r="R17" t="n">
        <v>46.8</v>
      </c>
      <c r="S17" t="inlineStr">
        <is>
          <t>diverged</t>
        </is>
      </c>
      <c r="T17" t="inlineStr">
        <is>
          <t>results/burgers-ch-lbm/ch_q8_nu_domain_single/2026-09-02/_83f4f49e/3e031de3</t>
        </is>
      </c>
    </row>
    <row r="18">
      <c r="A18" t="inlineStr">
        <is>
          <t>CH</t>
        </is>
      </c>
      <c r="B18" t="n">
        <v>8</v>
      </c>
      <c r="C18" t="n">
        <v>0.0005</v>
      </c>
      <c r="D18" t="n">
        <v>0.3</v>
      </c>
      <c r="E18" t="n">
        <v>0.1</v>
      </c>
      <c r="F18" t="n">
        <v>512</v>
      </c>
      <c r="G18" t="n">
        <v>600</v>
      </c>
      <c r="H18" t="n">
        <v>0</v>
      </c>
      <c r="I18" t="n">
        <v>4</v>
      </c>
      <c r="J18" t="n">
        <v>8</v>
      </c>
      <c r="K18" t="n">
        <v>512</v>
      </c>
      <c r="L18" t="n">
        <v>1</v>
      </c>
      <c r="M18" t="n">
        <v>5.682078</v>
      </c>
      <c r="N18" t="n">
        <v>0.036</v>
      </c>
      <c r="O18" t="n">
        <v>4096</v>
      </c>
      <c r="P18" t="n">
        <v>4096</v>
      </c>
      <c r="Q18" t="n">
        <v>6.8</v>
      </c>
      <c r="R18" t="n">
        <v>47.2</v>
      </c>
      <c r="S18" t="inlineStr">
        <is>
          <t>diverged</t>
        </is>
      </c>
      <c r="T18" t="inlineStr">
        <is>
          <t>results/burgers-ch-lbm/ch_q8_nu_domain_single/2026-09-02/_83f4f49e/7d1bee00</t>
        </is>
      </c>
    </row>
    <row r="19">
      <c r="A19" t="inlineStr">
        <is>
          <t>CH</t>
        </is>
      </c>
      <c r="B19" t="n">
        <v>8</v>
      </c>
      <c r="C19" t="n">
        <v>0.0004</v>
      </c>
      <c r="D19" t="n">
        <v>0.3</v>
      </c>
      <c r="E19" t="n">
        <v>0.1</v>
      </c>
      <c r="F19" t="n">
        <v>512</v>
      </c>
      <c r="G19" t="n">
        <v>750</v>
      </c>
      <c r="H19" t="n">
        <v>0</v>
      </c>
      <c r="I19" t="n">
        <v>4</v>
      </c>
      <c r="J19" t="n">
        <v>8</v>
      </c>
      <c r="K19" t="n">
        <v>512</v>
      </c>
      <c r="L19" t="n">
        <v>1</v>
      </c>
      <c r="M19" t="n">
        <v>5.073044</v>
      </c>
      <c r="N19" t="n">
        <v>0.0332</v>
      </c>
      <c r="O19" t="n">
        <v>5120</v>
      </c>
      <c r="P19" t="n">
        <v>5120</v>
      </c>
      <c r="Q19" t="n">
        <v>6.8</v>
      </c>
      <c r="R19" t="n">
        <v>129.4</v>
      </c>
      <c r="S19" t="inlineStr">
        <is>
          <t>diverged</t>
        </is>
      </c>
      <c r="T19" t="inlineStr">
        <is>
          <t>results/burgers-ch-lbm/ch_q8_nu_domain_single/2026-09-02/_c2442f4c/92c74292</t>
        </is>
      </c>
    </row>
    <row r="20">
      <c r="A20" t="inlineStr">
        <is>
          <t>CH</t>
        </is>
      </c>
      <c r="B20" t="n">
        <v>8</v>
      </c>
      <c r="C20" t="n">
        <v>0.0003</v>
      </c>
      <c r="D20" t="n">
        <v>0.3</v>
      </c>
      <c r="E20" t="n">
        <v>0.1</v>
      </c>
      <c r="F20" t="n">
        <v>512</v>
      </c>
      <c r="G20" t="n">
        <v>1000</v>
      </c>
      <c r="H20" t="n">
        <v>0</v>
      </c>
      <c r="I20" t="n">
        <v>4</v>
      </c>
      <c r="J20" t="n">
        <v>8</v>
      </c>
      <c r="K20" t="n">
        <v>512</v>
      </c>
      <c r="L20" t="n">
        <v>1</v>
      </c>
      <c r="M20" t="n">
        <v>4.550086</v>
      </c>
      <c r="N20" t="n">
        <v>0.0218</v>
      </c>
      <c r="O20" t="n">
        <v>6912</v>
      </c>
      <c r="P20" t="n">
        <v>6912</v>
      </c>
      <c r="Q20" t="n">
        <v>6.9</v>
      </c>
      <c r="R20" t="n">
        <v>130.8</v>
      </c>
      <c r="S20" t="inlineStr">
        <is>
          <t>diverged</t>
        </is>
      </c>
      <c r="T20" t="inlineStr">
        <is>
          <t>results/burgers-ch-lbm/ch_q8_nu_domain_single/2026-09-02/_c2442f4c/5c31ff15</t>
        </is>
      </c>
    </row>
    <row r="21">
      <c r="A21" t="inlineStr">
        <is>
          <t>CH</t>
        </is>
      </c>
      <c r="B21" t="n">
        <v>8</v>
      </c>
      <c r="C21" t="n">
        <v>0.00025</v>
      </c>
      <c r="D21" t="n">
        <v>0.3</v>
      </c>
      <c r="E21" t="n">
        <v>0.1</v>
      </c>
      <c r="F21" t="n">
        <v>512</v>
      </c>
      <c r="G21" t="n">
        <v>1200</v>
      </c>
      <c r="H21" t="n">
        <v>0</v>
      </c>
      <c r="I21" t="n">
        <v>4</v>
      </c>
      <c r="J21" t="n">
        <v>8</v>
      </c>
      <c r="K21" t="n">
        <v>512</v>
      </c>
      <c r="L21" t="n">
        <v>1</v>
      </c>
      <c r="M21" t="n">
        <v>4.055808</v>
      </c>
      <c r="N21" t="n">
        <v>0.0122</v>
      </c>
      <c r="O21" t="n">
        <v>8192</v>
      </c>
      <c r="P21" t="n">
        <v>8192</v>
      </c>
      <c r="Q21" t="n">
        <v>6.8</v>
      </c>
      <c r="R21" t="n">
        <v>129</v>
      </c>
      <c r="S21" t="inlineStr">
        <is>
          <t>diverged</t>
        </is>
      </c>
      <c r="T21" t="inlineStr">
        <is>
          <t>results/burgers-ch-lbm/ch_q8_nu_domain_single/2026-09-02/_c2442f4c/4431d434</t>
        </is>
      </c>
    </row>
    <row r="22">
      <c r="A22" t="inlineStr">
        <is>
          <t>CH</t>
        </is>
      </c>
      <c r="B22" t="n">
        <v>8</v>
      </c>
      <c r="C22" t="n">
        <v>0.0002</v>
      </c>
      <c r="D22" t="n">
        <v>0.3</v>
      </c>
      <c r="E22" t="n">
        <v>0.1</v>
      </c>
      <c r="F22" t="n">
        <v>512</v>
      </c>
      <c r="G22" t="n">
        <v>1500</v>
      </c>
      <c r="H22" t="n">
        <v>0</v>
      </c>
      <c r="I22" t="n">
        <v>4</v>
      </c>
      <c r="J22" t="n">
        <v>8</v>
      </c>
      <c r="K22" t="n">
        <v>512</v>
      </c>
      <c r="L22" t="n">
        <v>1</v>
      </c>
      <c r="M22" t="n">
        <v>3.486151</v>
      </c>
      <c r="N22" t="n">
        <v>0.0121</v>
      </c>
      <c r="O22" t="n">
        <v>10240</v>
      </c>
      <c r="P22" t="n">
        <v>10240</v>
      </c>
      <c r="Q22" t="n">
        <v>6.8</v>
      </c>
      <c r="R22" t="n">
        <v>127.9</v>
      </c>
      <c r="S22" t="inlineStr">
        <is>
          <t>diverged</t>
        </is>
      </c>
      <c r="T22" t="inlineStr">
        <is>
          <t>results/burgers-ch-lbm/ch_q8_nu_domain_single/2026-09-02/_c2442f4c/9614465d</t>
        </is>
      </c>
    </row>
    <row r="23">
      <c r="A23" t="inlineStr">
        <is>
          <t>CH</t>
        </is>
      </c>
      <c r="B23" t="n">
        <v>8</v>
      </c>
      <c r="C23" t="n">
        <v>0.00015</v>
      </c>
      <c r="D23" t="n">
        <v>0.3</v>
      </c>
      <c r="E23" t="n">
        <v>0.1</v>
      </c>
      <c r="F23" t="n">
        <v>512</v>
      </c>
      <c r="G23" t="n">
        <v>2000</v>
      </c>
      <c r="H23" t="n">
        <v>0</v>
      </c>
      <c r="I23" t="n">
        <v>4</v>
      </c>
      <c r="J23" t="n">
        <v>8</v>
      </c>
      <c r="K23" t="n">
        <v>512</v>
      </c>
      <c r="L23" t="n">
        <v>1</v>
      </c>
      <c r="M23" t="n">
        <v>2.87503</v>
      </c>
      <c r="N23" t="n">
        <v>0.0121</v>
      </c>
      <c r="O23" t="n">
        <v>13568</v>
      </c>
      <c r="P23" t="n">
        <v>13568</v>
      </c>
      <c r="Q23" t="n">
        <v>6.8</v>
      </c>
      <c r="R23" t="n">
        <v>130</v>
      </c>
      <c r="S23" t="inlineStr">
        <is>
          <t>diverged</t>
        </is>
      </c>
      <c r="T23" t="inlineStr">
        <is>
          <t>results/burgers-ch-lbm/ch_q8_nu_domain_single/2026-09-02/_c2442f4c/fa665f66</t>
        </is>
      </c>
    </row>
    <row r="24">
      <c r="A24" t="inlineStr">
        <is>
          <t>CH</t>
        </is>
      </c>
      <c r="B24" t="n">
        <v>8</v>
      </c>
      <c r="C24" t="n">
        <v>0.15</v>
      </c>
      <c r="D24" t="n">
        <v>0.3</v>
      </c>
      <c r="E24" t="n">
        <v>0.1</v>
      </c>
      <c r="F24" t="n">
        <v>512</v>
      </c>
      <c r="G24" t="n">
        <v>2</v>
      </c>
      <c r="H24" t="n">
        <v>0</v>
      </c>
      <c r="I24" t="n">
        <v>8</v>
      </c>
      <c r="J24" t="n">
        <v>8</v>
      </c>
      <c r="K24" t="n">
        <v>512</v>
      </c>
      <c r="L24" t="n">
        <v>1</v>
      </c>
      <c r="M24" t="n">
        <v>9.000000000000001e-05</v>
      </c>
      <c r="N24" t="n">
        <v>1</v>
      </c>
      <c r="O24" t="n">
        <v>800</v>
      </c>
      <c r="P24" t="n">
        <v>1024</v>
      </c>
      <c r="Q24" t="n">
        <v>512</v>
      </c>
      <c r="R24" t="n">
        <v>126.1</v>
      </c>
      <c r="S24" t="inlineStr">
        <is>
          <t>good</t>
        </is>
      </c>
      <c r="T24" t="inlineStr">
        <is>
          <t>results/burgers-ch-lbm/ch_q8_nu_domain_single/2026-09-02/_ce436320/300efc8e</t>
        </is>
      </c>
    </row>
    <row r="25">
      <c r="A25" t="inlineStr">
        <is>
          <t>CH</t>
        </is>
      </c>
      <c r="B25" t="n">
        <v>8</v>
      </c>
      <c r="C25" t="n">
        <v>0.12</v>
      </c>
      <c r="D25" t="n">
        <v>0.3</v>
      </c>
      <c r="E25" t="n">
        <v>0.1</v>
      </c>
      <c r="F25" t="n">
        <v>512</v>
      </c>
      <c r="G25" t="n">
        <v>2.5</v>
      </c>
      <c r="H25" t="n">
        <v>0</v>
      </c>
      <c r="I25" t="n">
        <v>8</v>
      </c>
      <c r="J25" t="n">
        <v>8</v>
      </c>
      <c r="K25" t="n">
        <v>512</v>
      </c>
      <c r="L25" t="n">
        <v>1</v>
      </c>
      <c r="M25" t="n">
        <v>0.000103</v>
      </c>
      <c r="N25" t="n">
        <v>1</v>
      </c>
      <c r="O25" t="n">
        <v>800</v>
      </c>
      <c r="P25" t="n">
        <v>1024</v>
      </c>
      <c r="Q25" t="n">
        <v>409.6</v>
      </c>
      <c r="R25" t="n">
        <v>126.6</v>
      </c>
      <c r="S25" t="inlineStr">
        <is>
          <t>good</t>
        </is>
      </c>
      <c r="T25" t="inlineStr">
        <is>
          <t>results/burgers-ch-lbm/ch_q8_nu_domain_single/2026-09-02/_ce436320/28063519</t>
        </is>
      </c>
    </row>
    <row r="26">
      <c r="A26" t="inlineStr">
        <is>
          <t>CH</t>
        </is>
      </c>
      <c r="B26" t="n">
        <v>8</v>
      </c>
      <c r="C26" t="n">
        <v>0.08</v>
      </c>
      <c r="D26" t="n">
        <v>0.3</v>
      </c>
      <c r="E26" t="n">
        <v>0.1</v>
      </c>
      <c r="F26" t="n">
        <v>512</v>
      </c>
      <c r="G26" t="n">
        <v>3.8</v>
      </c>
      <c r="H26" t="n">
        <v>0</v>
      </c>
      <c r="I26" t="n">
        <v>8</v>
      </c>
      <c r="J26" t="n">
        <v>8</v>
      </c>
      <c r="K26" t="n">
        <v>512</v>
      </c>
      <c r="L26" t="n">
        <v>1</v>
      </c>
      <c r="M26" t="n">
        <v>0.000123</v>
      </c>
      <c r="N26" t="n">
        <v>1</v>
      </c>
      <c r="O26" t="n">
        <v>800</v>
      </c>
      <c r="P26" t="n">
        <v>1024</v>
      </c>
      <c r="Q26" t="n">
        <v>273.1</v>
      </c>
      <c r="R26" t="n">
        <v>126</v>
      </c>
      <c r="S26" t="inlineStr">
        <is>
          <t>good</t>
        </is>
      </c>
      <c r="T26" t="inlineStr">
        <is>
          <t>results/burgers-ch-lbm/ch_q8_nu_domain_single/2026-09-02/_ce436320/ab5fb73e</t>
        </is>
      </c>
    </row>
    <row r="27">
      <c r="A27" t="inlineStr">
        <is>
          <t>CH</t>
        </is>
      </c>
      <c r="B27" t="n">
        <v>8</v>
      </c>
      <c r="C27" t="n">
        <v>0.05</v>
      </c>
      <c r="D27" t="n">
        <v>0.3</v>
      </c>
      <c r="E27" t="n">
        <v>0.1</v>
      </c>
      <c r="F27" t="n">
        <v>512</v>
      </c>
      <c r="G27" t="n">
        <v>6</v>
      </c>
      <c r="H27" t="n">
        <v>0</v>
      </c>
      <c r="I27" t="n">
        <v>8</v>
      </c>
      <c r="J27" t="n">
        <v>8</v>
      </c>
      <c r="K27" t="n">
        <v>512</v>
      </c>
      <c r="L27" t="n">
        <v>1</v>
      </c>
      <c r="M27" t="n">
        <v>0.000144</v>
      </c>
      <c r="N27" t="n">
        <v>1</v>
      </c>
      <c r="O27" t="n">
        <v>800</v>
      </c>
      <c r="P27" t="n">
        <v>1024</v>
      </c>
      <c r="Q27" t="n">
        <v>170.7</v>
      </c>
      <c r="R27" t="n">
        <v>125.7</v>
      </c>
      <c r="S27" t="inlineStr">
        <is>
          <t>good</t>
        </is>
      </c>
      <c r="T27" t="inlineStr">
        <is>
          <t>results/burgers-ch-lbm/ch_q8_nu_domain_single/2026-09-02/_ce436320/330635af</t>
        </is>
      </c>
    </row>
    <row r="28">
      <c r="A28" t="inlineStr">
        <is>
          <t>CH</t>
        </is>
      </c>
      <c r="B28" t="n">
        <v>8</v>
      </c>
      <c r="C28" t="n">
        <v>0.03</v>
      </c>
      <c r="D28" t="n">
        <v>0.3</v>
      </c>
      <c r="E28" t="n">
        <v>0.1</v>
      </c>
      <c r="F28" t="n">
        <v>512</v>
      </c>
      <c r="G28" t="n">
        <v>10</v>
      </c>
      <c r="H28" t="n">
        <v>0</v>
      </c>
      <c r="I28" t="n">
        <v>8</v>
      </c>
      <c r="J28" t="n">
        <v>8</v>
      </c>
      <c r="K28" t="n">
        <v>512</v>
      </c>
      <c r="L28" t="n">
        <v>1</v>
      </c>
      <c r="M28" t="n">
        <v>0.000169</v>
      </c>
      <c r="N28" t="n">
        <v>1</v>
      </c>
      <c r="O28" t="n">
        <v>800</v>
      </c>
      <c r="P28" t="n">
        <v>1024</v>
      </c>
      <c r="Q28" t="n">
        <v>102.4</v>
      </c>
      <c r="R28" t="n">
        <v>127.1</v>
      </c>
      <c r="S28" t="inlineStr">
        <is>
          <t>good</t>
        </is>
      </c>
      <c r="T28" t="inlineStr">
        <is>
          <t>results/burgers-ch-lbm/ch_q8_nu_domain_single/2026-09-02/_ce436320/94e8ac7b</t>
        </is>
      </c>
    </row>
    <row r="29">
      <c r="A29" t="inlineStr">
        <is>
          <t>CH</t>
        </is>
      </c>
      <c r="B29" t="n">
        <v>8</v>
      </c>
      <c r="C29" t="n">
        <v>0.02</v>
      </c>
      <c r="D29" t="n">
        <v>0.3</v>
      </c>
      <c r="E29" t="n">
        <v>0.1</v>
      </c>
      <c r="F29" t="n">
        <v>512</v>
      </c>
      <c r="G29" t="n">
        <v>15</v>
      </c>
      <c r="H29" t="n">
        <v>0</v>
      </c>
      <c r="I29" t="n">
        <v>8</v>
      </c>
      <c r="J29" t="n">
        <v>8</v>
      </c>
      <c r="K29" t="n">
        <v>512</v>
      </c>
      <c r="L29" t="n">
        <v>1</v>
      </c>
      <c r="M29" t="n">
        <v>0.000187</v>
      </c>
      <c r="N29" t="n">
        <v>1</v>
      </c>
      <c r="O29" t="n">
        <v>800</v>
      </c>
      <c r="P29" t="n">
        <v>1024</v>
      </c>
      <c r="Q29" t="n">
        <v>68.3</v>
      </c>
      <c r="R29" t="n">
        <v>126.2</v>
      </c>
      <c r="S29" t="inlineStr">
        <is>
          <t>good</t>
        </is>
      </c>
      <c r="T29" t="inlineStr">
        <is>
          <t>results/burgers-ch-lbm/ch_q8_nu_domain_single/2026-09-02/_ce436320/7540deb4</t>
        </is>
      </c>
    </row>
    <row r="30">
      <c r="A30" t="inlineStr">
        <is>
          <t>CH</t>
        </is>
      </c>
      <c r="B30" t="n">
        <v>8</v>
      </c>
      <c r="C30" t="n">
        <v>0.015</v>
      </c>
      <c r="D30" t="n">
        <v>0.3</v>
      </c>
      <c r="E30" t="n">
        <v>0.1</v>
      </c>
      <c r="F30" t="n">
        <v>512</v>
      </c>
      <c r="G30" t="n">
        <v>20</v>
      </c>
      <c r="H30" t="n">
        <v>0</v>
      </c>
      <c r="I30" t="n">
        <v>8</v>
      </c>
      <c r="J30" t="n">
        <v>8</v>
      </c>
      <c r="K30" t="n">
        <v>512</v>
      </c>
      <c r="L30" t="n">
        <v>1</v>
      </c>
      <c r="M30" t="n">
        <v>0.000199</v>
      </c>
      <c r="N30" t="n">
        <v>1</v>
      </c>
      <c r="O30" t="n">
        <v>800</v>
      </c>
      <c r="P30" t="n">
        <v>1024</v>
      </c>
      <c r="Q30" t="n">
        <v>51.2</v>
      </c>
      <c r="R30" t="n">
        <v>125.5</v>
      </c>
      <c r="S30" t="inlineStr">
        <is>
          <t>good</t>
        </is>
      </c>
      <c r="T30" t="inlineStr">
        <is>
          <t>results/burgers-ch-lbm/ch_q8_nu_domain_single/2026-09-02/_ce436320/275a1e38</t>
        </is>
      </c>
    </row>
    <row r="31">
      <c r="A31" t="inlineStr">
        <is>
          <t>CH</t>
        </is>
      </c>
      <c r="B31" t="n">
        <v>8</v>
      </c>
      <c r="C31" t="n">
        <v>0.01</v>
      </c>
      <c r="D31" t="n">
        <v>0.3</v>
      </c>
      <c r="E31" t="n">
        <v>0.1</v>
      </c>
      <c r="F31" t="n">
        <v>512</v>
      </c>
      <c r="G31" t="n">
        <v>30</v>
      </c>
      <c r="H31" t="n">
        <v>0</v>
      </c>
      <c r="I31" t="n">
        <v>8</v>
      </c>
      <c r="J31" t="n">
        <v>8</v>
      </c>
      <c r="K31" t="n">
        <v>512</v>
      </c>
      <c r="L31" t="n">
        <v>1</v>
      </c>
      <c r="M31" t="n">
        <v>0.000213</v>
      </c>
      <c r="N31" t="n">
        <v>1</v>
      </c>
      <c r="O31" t="n">
        <v>800</v>
      </c>
      <c r="P31" t="n">
        <v>1024</v>
      </c>
      <c r="Q31" t="n">
        <v>34.1</v>
      </c>
      <c r="R31" t="n">
        <v>127</v>
      </c>
      <c r="S31" t="inlineStr">
        <is>
          <t>good</t>
        </is>
      </c>
      <c r="T31" t="inlineStr">
        <is>
          <t>results/burgers-ch-lbm/ch_q8_nu_domain_single/2026-09-02/_ce436320/31f791e0</t>
        </is>
      </c>
    </row>
    <row r="32">
      <c r="A32" t="inlineStr">
        <is>
          <t>CH</t>
        </is>
      </c>
      <c r="B32" t="n">
        <v>8</v>
      </c>
      <c r="C32" t="n">
        <v>0.0075</v>
      </c>
      <c r="D32" t="n">
        <v>0.3</v>
      </c>
      <c r="E32" t="n">
        <v>0.1</v>
      </c>
      <c r="F32" t="n">
        <v>512</v>
      </c>
      <c r="G32" t="n">
        <v>40</v>
      </c>
      <c r="H32" t="n">
        <v>0</v>
      </c>
      <c r="I32" t="n">
        <v>8</v>
      </c>
      <c r="J32" t="n">
        <v>8</v>
      </c>
      <c r="K32" t="n">
        <v>512</v>
      </c>
      <c r="L32" t="n">
        <v>1</v>
      </c>
      <c r="M32" t="n">
        <v>0.000227</v>
      </c>
      <c r="N32" t="n">
        <v>1</v>
      </c>
      <c r="O32" t="n">
        <v>800</v>
      </c>
      <c r="P32" t="n">
        <v>1024</v>
      </c>
      <c r="Q32" t="n">
        <v>25.6</v>
      </c>
      <c r="R32" t="n">
        <v>127</v>
      </c>
      <c r="S32" t="inlineStr">
        <is>
          <t>good</t>
        </is>
      </c>
      <c r="T32" t="inlineStr">
        <is>
          <t>results/burgers-ch-lbm/ch_q8_nu_domain_single/2026-09-02/_ce436320/9f687915</t>
        </is>
      </c>
    </row>
    <row r="33">
      <c r="A33" t="inlineStr">
        <is>
          <t>CH</t>
        </is>
      </c>
      <c r="B33" t="n">
        <v>8</v>
      </c>
      <c r="C33" t="n">
        <v>0.005</v>
      </c>
      <c r="D33" t="n">
        <v>0.3</v>
      </c>
      <c r="E33" t="n">
        <v>0.1</v>
      </c>
      <c r="F33" t="n">
        <v>512</v>
      </c>
      <c r="G33" t="n">
        <v>60</v>
      </c>
      <c r="H33" t="n">
        <v>0</v>
      </c>
      <c r="I33" t="n">
        <v>8</v>
      </c>
      <c r="J33" t="n">
        <v>8</v>
      </c>
      <c r="K33" t="n">
        <v>512</v>
      </c>
      <c r="L33" t="n">
        <v>1</v>
      </c>
      <c r="M33" t="n">
        <v>0.000289</v>
      </c>
      <c r="N33" t="n">
        <v>1</v>
      </c>
      <c r="O33" t="n">
        <v>800</v>
      </c>
      <c r="P33" t="n">
        <v>1024</v>
      </c>
      <c r="Q33" t="n">
        <v>17.1</v>
      </c>
      <c r="R33" t="n">
        <v>126.6</v>
      </c>
      <c r="S33" t="inlineStr">
        <is>
          <t>good</t>
        </is>
      </c>
      <c r="T33" t="inlineStr">
        <is>
          <t>results/burgers-ch-lbm/ch_q8_nu_domain_single/2026-09-02/_ce436320/a2831fc2</t>
        </is>
      </c>
    </row>
    <row r="34">
      <c r="A34" t="inlineStr">
        <is>
          <t>CH</t>
        </is>
      </c>
      <c r="B34" t="n">
        <v>8</v>
      </c>
      <c r="C34" t="n">
        <v>0.003</v>
      </c>
      <c r="D34" t="n">
        <v>0.3</v>
      </c>
      <c r="E34" t="n">
        <v>0.1</v>
      </c>
      <c r="F34" t="n">
        <v>512</v>
      </c>
      <c r="G34" t="n">
        <v>100</v>
      </c>
      <c r="H34" t="n">
        <v>0</v>
      </c>
      <c r="I34" t="n">
        <v>8</v>
      </c>
      <c r="J34" t="n">
        <v>8</v>
      </c>
      <c r="K34" t="n">
        <v>512</v>
      </c>
      <c r="L34" t="n">
        <v>1</v>
      </c>
      <c r="M34" t="n">
        <v>0.0006310000000000001</v>
      </c>
      <c r="N34" t="n">
        <v>1</v>
      </c>
      <c r="O34" t="n">
        <v>800</v>
      </c>
      <c r="P34" t="n">
        <v>1024</v>
      </c>
      <c r="Q34" t="n">
        <v>10.2</v>
      </c>
      <c r="R34" t="n">
        <v>126.9</v>
      </c>
      <c r="S34" t="inlineStr">
        <is>
          <t>good</t>
        </is>
      </c>
      <c r="T34" t="inlineStr">
        <is>
          <t>results/burgers-ch-lbm/ch_q8_nu_domain_single/2026-09-02/_ce436320/4284386d</t>
        </is>
      </c>
    </row>
    <row r="35">
      <c r="A35" t="inlineStr">
        <is>
          <t>CH</t>
        </is>
      </c>
      <c r="B35" t="n">
        <v>8</v>
      </c>
      <c r="C35" t="n">
        <v>0.0025</v>
      </c>
      <c r="D35" t="n">
        <v>0.3</v>
      </c>
      <c r="E35" t="n">
        <v>0.1</v>
      </c>
      <c r="F35" t="n">
        <v>512</v>
      </c>
      <c r="G35" t="n">
        <v>120</v>
      </c>
      <c r="H35" t="n">
        <v>0</v>
      </c>
      <c r="I35" t="n">
        <v>8</v>
      </c>
      <c r="J35" t="n">
        <v>8</v>
      </c>
      <c r="K35" t="n">
        <v>512</v>
      </c>
      <c r="L35" t="n">
        <v>1</v>
      </c>
      <c r="M35" t="n">
        <v>0.000899</v>
      </c>
      <c r="N35" t="n">
        <v>1</v>
      </c>
      <c r="O35" t="n">
        <v>800</v>
      </c>
      <c r="P35" t="n">
        <v>1024</v>
      </c>
      <c r="Q35" t="n">
        <v>8.5</v>
      </c>
      <c r="R35" t="n">
        <v>126.1</v>
      </c>
      <c r="S35" t="inlineStr">
        <is>
          <t>good</t>
        </is>
      </c>
      <c r="T35" t="inlineStr">
        <is>
          <t>results/burgers-ch-lbm/ch_q8_nu_domain_single/2026-09-02/_ce436320/4aacc4bd</t>
        </is>
      </c>
    </row>
    <row r="36">
      <c r="A36" t="inlineStr">
        <is>
          <t>CH</t>
        </is>
      </c>
      <c r="B36" t="n">
        <v>8</v>
      </c>
      <c r="C36" t="n">
        <v>0.002</v>
      </c>
      <c r="D36" t="n">
        <v>0.3</v>
      </c>
      <c r="E36" t="n">
        <v>0.1</v>
      </c>
      <c r="F36" t="n">
        <v>512</v>
      </c>
      <c r="G36" t="n">
        <v>150</v>
      </c>
      <c r="H36" t="n">
        <v>0</v>
      </c>
      <c r="I36" t="n">
        <v>8</v>
      </c>
      <c r="J36" t="n">
        <v>8</v>
      </c>
      <c r="K36" t="n">
        <v>512</v>
      </c>
      <c r="L36" t="n">
        <v>1</v>
      </c>
      <c r="M36" t="n">
        <v>0.001474</v>
      </c>
      <c r="N36" t="n">
        <v>1</v>
      </c>
      <c r="O36" t="n">
        <v>1280</v>
      </c>
      <c r="P36" t="n">
        <v>1280</v>
      </c>
      <c r="Q36" t="n">
        <v>8.5</v>
      </c>
      <c r="R36" t="n">
        <v>46.9</v>
      </c>
      <c r="S36" t="inlineStr">
        <is>
          <t>good</t>
        </is>
      </c>
      <c r="T36" t="inlineStr">
        <is>
          <t>results/burgers-ch-lbm/ch_q8_nu_domain_single/2026-09-02/_83f4f49e/859a069e</t>
        </is>
      </c>
    </row>
    <row r="37">
      <c r="A37" t="inlineStr">
        <is>
          <t>CH</t>
        </is>
      </c>
      <c r="B37" t="n">
        <v>8</v>
      </c>
      <c r="C37" t="n">
        <v>0.0015</v>
      </c>
      <c r="D37" t="n">
        <v>0.3</v>
      </c>
      <c r="E37" t="n">
        <v>0.1</v>
      </c>
      <c r="F37" t="n">
        <v>512</v>
      </c>
      <c r="G37" t="n">
        <v>200</v>
      </c>
      <c r="H37" t="n">
        <v>0</v>
      </c>
      <c r="I37" t="n">
        <v>8</v>
      </c>
      <c r="J37" t="n">
        <v>8</v>
      </c>
      <c r="K37" t="n">
        <v>512</v>
      </c>
      <c r="L37" t="n">
        <v>1</v>
      </c>
      <c r="M37" t="n">
        <v>0.231955</v>
      </c>
      <c r="N37" t="n">
        <v>0.9728</v>
      </c>
      <c r="O37" t="n">
        <v>1536</v>
      </c>
      <c r="P37" t="n">
        <v>1536</v>
      </c>
      <c r="Q37" t="n">
        <v>7.7</v>
      </c>
      <c r="R37" t="n">
        <v>46.7</v>
      </c>
      <c r="S37" t="inlineStr">
        <is>
          <t>good</t>
        </is>
      </c>
      <c r="T37" t="inlineStr">
        <is>
          <t>results/burgers-ch-lbm/ch_q8_nu_domain_single/2026-09-02/_83f4f49e/7ea4ec41</t>
        </is>
      </c>
    </row>
    <row r="38">
      <c r="A38" t="inlineStr">
        <is>
          <t>CH</t>
        </is>
      </c>
      <c r="B38" t="n">
        <v>8</v>
      </c>
      <c r="C38" t="n">
        <v>0.001</v>
      </c>
      <c r="D38" t="n">
        <v>0.3</v>
      </c>
      <c r="E38" t="n">
        <v>0.1</v>
      </c>
      <c r="F38" t="n">
        <v>512</v>
      </c>
      <c r="G38" t="n">
        <v>300</v>
      </c>
      <c r="H38" t="n">
        <v>0</v>
      </c>
      <c r="I38" t="n">
        <v>8</v>
      </c>
      <c r="J38" t="n">
        <v>8</v>
      </c>
      <c r="K38" t="n">
        <v>512</v>
      </c>
      <c r="L38" t="n">
        <v>1</v>
      </c>
      <c r="M38" t="n">
        <v>0.6360789999999999</v>
      </c>
      <c r="N38" t="n">
        <v>0.7716</v>
      </c>
      <c r="O38" t="n">
        <v>2048</v>
      </c>
      <c r="P38" t="n">
        <v>2048</v>
      </c>
      <c r="Q38" t="n">
        <v>6.8</v>
      </c>
      <c r="R38" t="n">
        <v>46.9</v>
      </c>
      <c r="S38" t="inlineStr">
        <is>
          <t>marginal</t>
        </is>
      </c>
      <c r="T38" t="inlineStr">
        <is>
          <t>results/burgers-ch-lbm/ch_q8_nu_domain_single/2026-09-02/_83f4f49e/ef257f64</t>
        </is>
      </c>
    </row>
    <row r="39">
      <c r="A39" t="inlineStr">
        <is>
          <t>CH</t>
        </is>
      </c>
      <c r="B39" t="n">
        <v>8</v>
      </c>
      <c r="C39" t="n">
        <v>0.00075</v>
      </c>
      <c r="D39" t="n">
        <v>0.3</v>
      </c>
      <c r="E39" t="n">
        <v>0.1</v>
      </c>
      <c r="F39" t="n">
        <v>512</v>
      </c>
      <c r="G39" t="n">
        <v>400</v>
      </c>
      <c r="H39" t="n">
        <v>0</v>
      </c>
      <c r="I39" t="n">
        <v>8</v>
      </c>
      <c r="J39" t="n">
        <v>8</v>
      </c>
      <c r="K39" t="n">
        <v>512</v>
      </c>
      <c r="L39" t="n">
        <v>1</v>
      </c>
      <c r="M39" t="n">
        <v>0.775056</v>
      </c>
      <c r="N39" t="n">
        <v>0.632</v>
      </c>
      <c r="O39" t="n">
        <v>2816</v>
      </c>
      <c r="P39" t="n">
        <v>2816</v>
      </c>
      <c r="Q39" t="n">
        <v>7</v>
      </c>
      <c r="R39" t="n">
        <v>47</v>
      </c>
      <c r="S39" t="inlineStr">
        <is>
          <t>marginal</t>
        </is>
      </c>
      <c r="T39" t="inlineStr">
        <is>
          <t>results/burgers-ch-lbm/ch_q8_nu_domain_single/2026-09-02/_83f4f49e/9e91f02d</t>
        </is>
      </c>
    </row>
    <row r="40">
      <c r="A40" t="inlineStr">
        <is>
          <t>CH</t>
        </is>
      </c>
      <c r="B40" t="n">
        <v>8</v>
      </c>
      <c r="C40" t="n">
        <v>0.0005</v>
      </c>
      <c r="D40" t="n">
        <v>0.3</v>
      </c>
      <c r="E40" t="n">
        <v>0.1</v>
      </c>
      <c r="F40" t="n">
        <v>512</v>
      </c>
      <c r="G40" t="n">
        <v>600</v>
      </c>
      <c r="H40" t="n">
        <v>0</v>
      </c>
      <c r="I40" t="n">
        <v>8</v>
      </c>
      <c r="J40" t="n">
        <v>8</v>
      </c>
      <c r="K40" t="n">
        <v>512</v>
      </c>
      <c r="L40" t="n">
        <v>1</v>
      </c>
      <c r="M40" t="n">
        <v>3.612818</v>
      </c>
      <c r="N40" t="n">
        <v>0.0665</v>
      </c>
      <c r="O40" t="n">
        <v>4096</v>
      </c>
      <c r="P40" t="n">
        <v>4096</v>
      </c>
      <c r="Q40" t="n">
        <v>6.8</v>
      </c>
      <c r="R40" t="n">
        <v>46.6</v>
      </c>
      <c r="S40" t="inlineStr">
        <is>
          <t>diverged</t>
        </is>
      </c>
      <c r="T40" t="inlineStr">
        <is>
          <t>results/burgers-ch-lbm/ch_q8_nu_domain_single/2026-09-02/_83f4f49e/60ece56b</t>
        </is>
      </c>
    </row>
    <row r="41">
      <c r="A41" t="inlineStr">
        <is>
          <t>CH</t>
        </is>
      </c>
      <c r="B41" t="n">
        <v>8</v>
      </c>
      <c r="C41" t="n">
        <v>0.0004</v>
      </c>
      <c r="D41" t="n">
        <v>0.3</v>
      </c>
      <c r="E41" t="n">
        <v>0.1</v>
      </c>
      <c r="F41" t="n">
        <v>512</v>
      </c>
      <c r="G41" t="n">
        <v>750</v>
      </c>
      <c r="H41" t="n">
        <v>0</v>
      </c>
      <c r="I41" t="n">
        <v>8</v>
      </c>
      <c r="J41" t="n">
        <v>8</v>
      </c>
      <c r="K41" t="n">
        <v>512</v>
      </c>
      <c r="L41" t="n">
        <v>1</v>
      </c>
      <c r="M41" t="n">
        <v>3.677275</v>
      </c>
      <c r="N41" t="n">
        <v>0.0486</v>
      </c>
      <c r="O41" t="n">
        <v>5120</v>
      </c>
      <c r="P41" t="n">
        <v>5120</v>
      </c>
      <c r="Q41" t="n">
        <v>6.8</v>
      </c>
      <c r="R41" t="n">
        <v>129.6</v>
      </c>
      <c r="S41" t="inlineStr">
        <is>
          <t>diverged</t>
        </is>
      </c>
      <c r="T41" t="inlineStr">
        <is>
          <t>results/burgers-ch-lbm/ch_q8_nu_domain_single/2026-09-02/_c2442f4c/5b100faf</t>
        </is>
      </c>
    </row>
    <row r="42">
      <c r="A42" t="inlineStr">
        <is>
          <t>CH</t>
        </is>
      </c>
      <c r="B42" t="n">
        <v>8</v>
      </c>
      <c r="C42" t="n">
        <v>0.0003</v>
      </c>
      <c r="D42" t="n">
        <v>0.3</v>
      </c>
      <c r="E42" t="n">
        <v>0.1</v>
      </c>
      <c r="F42" t="n">
        <v>512</v>
      </c>
      <c r="G42" t="n">
        <v>1000</v>
      </c>
      <c r="H42" t="n">
        <v>0</v>
      </c>
      <c r="I42" t="n">
        <v>8</v>
      </c>
      <c r="J42" t="n">
        <v>8</v>
      </c>
      <c r="K42" t="n">
        <v>512</v>
      </c>
      <c r="L42" t="n">
        <v>1</v>
      </c>
      <c r="M42" t="n">
        <v>3.545545</v>
      </c>
      <c r="N42" t="n">
        <v>0.0349</v>
      </c>
      <c r="O42" t="n">
        <v>6912</v>
      </c>
      <c r="P42" t="n">
        <v>6912</v>
      </c>
      <c r="Q42" t="n">
        <v>6.9</v>
      </c>
      <c r="R42" t="n">
        <v>126.3</v>
      </c>
      <c r="S42" t="inlineStr">
        <is>
          <t>diverged</t>
        </is>
      </c>
      <c r="T42" t="inlineStr">
        <is>
          <t>results/burgers-ch-lbm/ch_q8_nu_domain_single/2026-09-02/_c2442f4c/52461db0</t>
        </is>
      </c>
    </row>
    <row r="43">
      <c r="A43" t="inlineStr">
        <is>
          <t>CH</t>
        </is>
      </c>
      <c r="B43" t="n">
        <v>8</v>
      </c>
      <c r="C43" t="n">
        <v>0.00025</v>
      </c>
      <c r="D43" t="n">
        <v>0.3</v>
      </c>
      <c r="E43" t="n">
        <v>0.1</v>
      </c>
      <c r="F43" t="n">
        <v>512</v>
      </c>
      <c r="G43" t="n">
        <v>1200</v>
      </c>
      <c r="H43" t="n">
        <v>0</v>
      </c>
      <c r="I43" t="n">
        <v>8</v>
      </c>
      <c r="J43" t="n">
        <v>8</v>
      </c>
      <c r="K43" t="n">
        <v>512</v>
      </c>
      <c r="L43" t="n">
        <v>1</v>
      </c>
      <c r="M43" t="n">
        <v>3.008312</v>
      </c>
      <c r="N43" t="n">
        <v>0.0322</v>
      </c>
      <c r="O43" t="n">
        <v>8192</v>
      </c>
      <c r="P43" t="n">
        <v>8192</v>
      </c>
      <c r="Q43" t="n">
        <v>6.8</v>
      </c>
      <c r="R43" t="n">
        <v>129.9</v>
      </c>
      <c r="S43" t="inlineStr">
        <is>
          <t>diverged</t>
        </is>
      </c>
      <c r="T43" t="inlineStr">
        <is>
          <t>results/burgers-ch-lbm/ch_q8_nu_domain_single/2026-09-02/_c2442f4c/8c78a249</t>
        </is>
      </c>
    </row>
    <row r="44">
      <c r="A44" t="inlineStr">
        <is>
          <t>CH</t>
        </is>
      </c>
      <c r="B44" t="n">
        <v>8</v>
      </c>
      <c r="C44" t="n">
        <v>0.0002</v>
      </c>
      <c r="D44" t="n">
        <v>0.3</v>
      </c>
      <c r="E44" t="n">
        <v>0.1</v>
      </c>
      <c r="F44" t="n">
        <v>512</v>
      </c>
      <c r="G44" t="n">
        <v>1500</v>
      </c>
      <c r="H44" t="n">
        <v>0</v>
      </c>
      <c r="I44" t="n">
        <v>8</v>
      </c>
      <c r="J44" t="n">
        <v>8</v>
      </c>
      <c r="K44" t="n">
        <v>512</v>
      </c>
      <c r="L44" t="n">
        <v>1</v>
      </c>
      <c r="M44" t="n">
        <v>3.325335</v>
      </c>
      <c r="N44" t="n">
        <v>0.0248</v>
      </c>
      <c r="O44" t="n">
        <v>10240</v>
      </c>
      <c r="P44" t="n">
        <v>10240</v>
      </c>
      <c r="Q44" t="n">
        <v>6.8</v>
      </c>
      <c r="R44" t="n">
        <v>128.5</v>
      </c>
      <c r="S44" t="inlineStr">
        <is>
          <t>diverged</t>
        </is>
      </c>
      <c r="T44" t="inlineStr">
        <is>
          <t>results/burgers-ch-lbm/ch_q8_nu_domain_single/2026-09-02/_c2442f4c/d07b3bea</t>
        </is>
      </c>
    </row>
    <row r="45">
      <c r="A45" t="inlineStr">
        <is>
          <t>CH</t>
        </is>
      </c>
      <c r="B45" t="n">
        <v>8</v>
      </c>
      <c r="C45" t="n">
        <v>0.00015</v>
      </c>
      <c r="D45" t="n">
        <v>0.3</v>
      </c>
      <c r="E45" t="n">
        <v>0.1</v>
      </c>
      <c r="F45" t="n">
        <v>512</v>
      </c>
      <c r="G45" t="n">
        <v>2000</v>
      </c>
      <c r="H45" t="n">
        <v>0</v>
      </c>
      <c r="I45" t="n">
        <v>8</v>
      </c>
      <c r="J45" t="n">
        <v>8</v>
      </c>
      <c r="K45" t="n">
        <v>512</v>
      </c>
      <c r="L45" t="n">
        <v>1</v>
      </c>
      <c r="M45" t="n">
        <v>2.605501</v>
      </c>
      <c r="N45" t="n">
        <v>0.021</v>
      </c>
      <c r="O45" t="n">
        <v>13568</v>
      </c>
      <c r="P45" t="n">
        <v>13568</v>
      </c>
      <c r="Q45" t="n">
        <v>6.8</v>
      </c>
      <c r="R45" t="n">
        <v>128.3</v>
      </c>
      <c r="S45" t="inlineStr">
        <is>
          <t>diverged</t>
        </is>
      </c>
      <c r="T45" t="inlineStr">
        <is>
          <t>results/burgers-ch-lbm/ch_q8_nu_domain_single/2026-09-02/_c2442f4c/95945d0a</t>
        </is>
      </c>
    </row>
    <row r="46">
      <c r="A46" t="inlineStr">
        <is>
          <t>CH</t>
        </is>
      </c>
      <c r="B46" t="n">
        <v>8</v>
      </c>
      <c r="C46" t="n">
        <v>0.15</v>
      </c>
      <c r="D46" t="n">
        <v>0.3</v>
      </c>
      <c r="E46" t="n">
        <v>0.1</v>
      </c>
      <c r="F46" t="n">
        <v>512</v>
      </c>
      <c r="G46" t="n">
        <v>2</v>
      </c>
      <c r="H46" t="n">
        <v>0</v>
      </c>
      <c r="I46" t="n">
        <v>16</v>
      </c>
      <c r="J46" t="n">
        <v>8</v>
      </c>
      <c r="K46" t="n">
        <v>512</v>
      </c>
      <c r="L46" t="n">
        <v>1</v>
      </c>
      <c r="M46" t="n">
        <v>9.000000000000001e-05</v>
      </c>
      <c r="N46" t="n">
        <v>1</v>
      </c>
      <c r="O46" t="n">
        <v>800</v>
      </c>
      <c r="P46" t="n">
        <v>1024</v>
      </c>
      <c r="Q46" t="n">
        <v>512</v>
      </c>
      <c r="R46" t="n">
        <v>125.6</v>
      </c>
      <c r="S46" t="inlineStr">
        <is>
          <t>good</t>
        </is>
      </c>
      <c r="T46" t="inlineStr">
        <is>
          <t>results/burgers-ch-lbm/ch_q8_nu_domain_single/2026-09-02/_ce436320/72818197</t>
        </is>
      </c>
    </row>
    <row r="47">
      <c r="A47" t="inlineStr">
        <is>
          <t>CH</t>
        </is>
      </c>
      <c r="B47" t="n">
        <v>8</v>
      </c>
      <c r="C47" t="n">
        <v>0.12</v>
      </c>
      <c r="D47" t="n">
        <v>0.3</v>
      </c>
      <c r="E47" t="n">
        <v>0.1</v>
      </c>
      <c r="F47" t="n">
        <v>512</v>
      </c>
      <c r="G47" t="n">
        <v>2.5</v>
      </c>
      <c r="H47" t="n">
        <v>0</v>
      </c>
      <c r="I47" t="n">
        <v>16</v>
      </c>
      <c r="J47" t="n">
        <v>8</v>
      </c>
      <c r="K47" t="n">
        <v>512</v>
      </c>
      <c r="L47" t="n">
        <v>1</v>
      </c>
      <c r="M47" t="n">
        <v>0.000103</v>
      </c>
      <c r="N47" t="n">
        <v>1</v>
      </c>
      <c r="O47" t="n">
        <v>800</v>
      </c>
      <c r="P47" t="n">
        <v>1024</v>
      </c>
      <c r="Q47" t="n">
        <v>409.6</v>
      </c>
      <c r="R47" t="n">
        <v>127.3</v>
      </c>
      <c r="S47" t="inlineStr">
        <is>
          <t>good</t>
        </is>
      </c>
      <c r="T47" t="inlineStr">
        <is>
          <t>results/burgers-ch-lbm/ch_q8_nu_domain_single/2026-09-02/_ce436320/63cf775c</t>
        </is>
      </c>
    </row>
    <row r="48">
      <c r="A48" t="inlineStr">
        <is>
          <t>CH</t>
        </is>
      </c>
      <c r="B48" t="n">
        <v>8</v>
      </c>
      <c r="C48" t="n">
        <v>0.08</v>
      </c>
      <c r="D48" t="n">
        <v>0.3</v>
      </c>
      <c r="E48" t="n">
        <v>0.1</v>
      </c>
      <c r="F48" t="n">
        <v>512</v>
      </c>
      <c r="G48" t="n">
        <v>3.8</v>
      </c>
      <c r="H48" t="n">
        <v>0</v>
      </c>
      <c r="I48" t="n">
        <v>16</v>
      </c>
      <c r="J48" t="n">
        <v>8</v>
      </c>
      <c r="K48" t="n">
        <v>512</v>
      </c>
      <c r="L48" t="n">
        <v>1</v>
      </c>
      <c r="M48" t="n">
        <v>0.000123</v>
      </c>
      <c r="N48" t="n">
        <v>1</v>
      </c>
      <c r="O48" t="n">
        <v>800</v>
      </c>
      <c r="P48" t="n">
        <v>1024</v>
      </c>
      <c r="Q48" t="n">
        <v>273.1</v>
      </c>
      <c r="R48" t="n">
        <v>126.9</v>
      </c>
      <c r="S48" t="inlineStr">
        <is>
          <t>good</t>
        </is>
      </c>
      <c r="T48" t="inlineStr">
        <is>
          <t>results/burgers-ch-lbm/ch_q8_nu_domain_single/2026-09-02/_ce436320/3550a3b2</t>
        </is>
      </c>
    </row>
    <row r="49">
      <c r="A49" t="inlineStr">
        <is>
          <t>CH</t>
        </is>
      </c>
      <c r="B49" t="n">
        <v>8</v>
      </c>
      <c r="C49" t="n">
        <v>0.05</v>
      </c>
      <c r="D49" t="n">
        <v>0.3</v>
      </c>
      <c r="E49" t="n">
        <v>0.1</v>
      </c>
      <c r="F49" t="n">
        <v>512</v>
      </c>
      <c r="G49" t="n">
        <v>6</v>
      </c>
      <c r="H49" t="n">
        <v>0</v>
      </c>
      <c r="I49" t="n">
        <v>16</v>
      </c>
      <c r="J49" t="n">
        <v>8</v>
      </c>
      <c r="K49" t="n">
        <v>512</v>
      </c>
      <c r="L49" t="n">
        <v>1</v>
      </c>
      <c r="M49" t="n">
        <v>0.000144</v>
      </c>
      <c r="N49" t="n">
        <v>1</v>
      </c>
      <c r="O49" t="n">
        <v>800</v>
      </c>
      <c r="P49" t="n">
        <v>1024</v>
      </c>
      <c r="Q49" t="n">
        <v>170.7</v>
      </c>
      <c r="R49" t="n">
        <v>126.3</v>
      </c>
      <c r="S49" t="inlineStr">
        <is>
          <t>good</t>
        </is>
      </c>
      <c r="T49" t="inlineStr">
        <is>
          <t>results/burgers-ch-lbm/ch_q8_nu_domain_single/2026-09-02/_ce436320/3b65b1ff</t>
        </is>
      </c>
    </row>
    <row r="50">
      <c r="A50" t="inlineStr">
        <is>
          <t>CH</t>
        </is>
      </c>
      <c r="B50" t="n">
        <v>8</v>
      </c>
      <c r="C50" t="n">
        <v>0.03</v>
      </c>
      <c r="D50" t="n">
        <v>0.3</v>
      </c>
      <c r="E50" t="n">
        <v>0.1</v>
      </c>
      <c r="F50" t="n">
        <v>512</v>
      </c>
      <c r="G50" t="n">
        <v>10</v>
      </c>
      <c r="H50" t="n">
        <v>0</v>
      </c>
      <c r="I50" t="n">
        <v>16</v>
      </c>
      <c r="J50" t="n">
        <v>8</v>
      </c>
      <c r="K50" t="n">
        <v>512</v>
      </c>
      <c r="L50" t="n">
        <v>1</v>
      </c>
      <c r="M50" t="n">
        <v>0.000169</v>
      </c>
      <c r="N50" t="n">
        <v>1</v>
      </c>
      <c r="O50" t="n">
        <v>800</v>
      </c>
      <c r="P50" t="n">
        <v>1024</v>
      </c>
      <c r="Q50" t="n">
        <v>102.4</v>
      </c>
      <c r="R50" t="n">
        <v>126.8</v>
      </c>
      <c r="S50" t="inlineStr">
        <is>
          <t>good</t>
        </is>
      </c>
      <c r="T50" t="inlineStr">
        <is>
          <t>results/burgers-ch-lbm/ch_q8_nu_domain_single/2026-09-02/_ce436320/9951b427</t>
        </is>
      </c>
    </row>
    <row r="51">
      <c r="A51" t="inlineStr">
        <is>
          <t>CH</t>
        </is>
      </c>
      <c r="B51" t="n">
        <v>8</v>
      </c>
      <c r="C51" t="n">
        <v>0.02</v>
      </c>
      <c r="D51" t="n">
        <v>0.3</v>
      </c>
      <c r="E51" t="n">
        <v>0.1</v>
      </c>
      <c r="F51" t="n">
        <v>512</v>
      </c>
      <c r="G51" t="n">
        <v>15</v>
      </c>
      <c r="H51" t="n">
        <v>0</v>
      </c>
      <c r="I51" t="n">
        <v>16</v>
      </c>
      <c r="J51" t="n">
        <v>8</v>
      </c>
      <c r="K51" t="n">
        <v>512</v>
      </c>
      <c r="L51" t="n">
        <v>1</v>
      </c>
      <c r="M51" t="n">
        <v>0.000187</v>
      </c>
      <c r="N51" t="n">
        <v>1</v>
      </c>
      <c r="O51" t="n">
        <v>800</v>
      </c>
      <c r="P51" t="n">
        <v>1024</v>
      </c>
      <c r="Q51" t="n">
        <v>68.3</v>
      </c>
      <c r="R51" t="n">
        <v>126</v>
      </c>
      <c r="S51" t="inlineStr">
        <is>
          <t>good</t>
        </is>
      </c>
      <c r="T51" t="inlineStr">
        <is>
          <t>results/burgers-ch-lbm/ch_q8_nu_domain_single/2026-09-02/_ce436320/be363365</t>
        </is>
      </c>
    </row>
    <row r="52">
      <c r="A52" t="inlineStr">
        <is>
          <t>CH</t>
        </is>
      </c>
      <c r="B52" t="n">
        <v>8</v>
      </c>
      <c r="C52" t="n">
        <v>0.015</v>
      </c>
      <c r="D52" t="n">
        <v>0.3</v>
      </c>
      <c r="E52" t="n">
        <v>0.1</v>
      </c>
      <c r="F52" t="n">
        <v>512</v>
      </c>
      <c r="G52" t="n">
        <v>20</v>
      </c>
      <c r="H52" t="n">
        <v>0</v>
      </c>
      <c r="I52" t="n">
        <v>16</v>
      </c>
      <c r="J52" t="n">
        <v>8</v>
      </c>
      <c r="K52" t="n">
        <v>512</v>
      </c>
      <c r="L52" t="n">
        <v>1</v>
      </c>
      <c r="M52" t="n">
        <v>0.000199</v>
      </c>
      <c r="N52" t="n">
        <v>1</v>
      </c>
      <c r="O52" t="n">
        <v>800</v>
      </c>
      <c r="P52" t="n">
        <v>1024</v>
      </c>
      <c r="Q52" t="n">
        <v>51.2</v>
      </c>
      <c r="R52" t="n">
        <v>126.5</v>
      </c>
      <c r="S52" t="inlineStr">
        <is>
          <t>good</t>
        </is>
      </c>
      <c r="T52" t="inlineStr">
        <is>
          <t>results/burgers-ch-lbm/ch_q8_nu_domain_single/2026-09-02/_ce436320/71059e23</t>
        </is>
      </c>
    </row>
    <row r="53">
      <c r="A53" t="inlineStr">
        <is>
          <t>CH</t>
        </is>
      </c>
      <c r="B53" t="n">
        <v>8</v>
      </c>
      <c r="C53" t="n">
        <v>0.01</v>
      </c>
      <c r="D53" t="n">
        <v>0.3</v>
      </c>
      <c r="E53" t="n">
        <v>0.1</v>
      </c>
      <c r="F53" t="n">
        <v>512</v>
      </c>
      <c r="G53" t="n">
        <v>30</v>
      </c>
      <c r="H53" t="n">
        <v>0</v>
      </c>
      <c r="I53" t="n">
        <v>16</v>
      </c>
      <c r="J53" t="n">
        <v>8</v>
      </c>
      <c r="K53" t="n">
        <v>512</v>
      </c>
      <c r="L53" t="n">
        <v>1</v>
      </c>
      <c r="M53" t="n">
        <v>0.000213</v>
      </c>
      <c r="N53" t="n">
        <v>1</v>
      </c>
      <c r="O53" t="n">
        <v>800</v>
      </c>
      <c r="P53" t="n">
        <v>1024</v>
      </c>
      <c r="Q53" t="n">
        <v>34.1</v>
      </c>
      <c r="R53" t="n">
        <v>126.8</v>
      </c>
      <c r="S53" t="inlineStr">
        <is>
          <t>good</t>
        </is>
      </c>
      <c r="T53" t="inlineStr">
        <is>
          <t>results/burgers-ch-lbm/ch_q8_nu_domain_single/2026-09-02/_ce436320/0195ba52</t>
        </is>
      </c>
    </row>
    <row r="54">
      <c r="A54" t="inlineStr">
        <is>
          <t>CH</t>
        </is>
      </c>
      <c r="B54" t="n">
        <v>8</v>
      </c>
      <c r="C54" t="n">
        <v>0.0075</v>
      </c>
      <c r="D54" t="n">
        <v>0.3</v>
      </c>
      <c r="E54" t="n">
        <v>0.1</v>
      </c>
      <c r="F54" t="n">
        <v>512</v>
      </c>
      <c r="G54" t="n">
        <v>40</v>
      </c>
      <c r="H54" t="n">
        <v>0</v>
      </c>
      <c r="I54" t="n">
        <v>16</v>
      </c>
      <c r="J54" t="n">
        <v>8</v>
      </c>
      <c r="K54" t="n">
        <v>512</v>
      </c>
      <c r="L54" t="n">
        <v>1</v>
      </c>
      <c r="M54" t="n">
        <v>0.000227</v>
      </c>
      <c r="N54" t="n">
        <v>1</v>
      </c>
      <c r="O54" t="n">
        <v>800</v>
      </c>
      <c r="P54" t="n">
        <v>1024</v>
      </c>
      <c r="Q54" t="n">
        <v>25.6</v>
      </c>
      <c r="R54" t="n">
        <v>124.4</v>
      </c>
      <c r="S54" t="inlineStr">
        <is>
          <t>good</t>
        </is>
      </c>
      <c r="T54" t="inlineStr">
        <is>
          <t>results/burgers-ch-lbm/ch_q8_nu_domain_single/2026-09-02/_ce436320/d2688e31</t>
        </is>
      </c>
    </row>
    <row r="55">
      <c r="A55" t="inlineStr">
        <is>
          <t>CH</t>
        </is>
      </c>
      <c r="B55" t="n">
        <v>8</v>
      </c>
      <c r="C55" t="n">
        <v>0.005</v>
      </c>
      <c r="D55" t="n">
        <v>0.3</v>
      </c>
      <c r="E55" t="n">
        <v>0.1</v>
      </c>
      <c r="F55" t="n">
        <v>512</v>
      </c>
      <c r="G55" t="n">
        <v>60</v>
      </c>
      <c r="H55" t="n">
        <v>0</v>
      </c>
      <c r="I55" t="n">
        <v>16</v>
      </c>
      <c r="J55" t="n">
        <v>8</v>
      </c>
      <c r="K55" t="n">
        <v>512</v>
      </c>
      <c r="L55" t="n">
        <v>1</v>
      </c>
      <c r="M55" t="n">
        <v>0.000289</v>
      </c>
      <c r="N55" t="n">
        <v>1</v>
      </c>
      <c r="O55" t="n">
        <v>800</v>
      </c>
      <c r="P55" t="n">
        <v>1024</v>
      </c>
      <c r="Q55" t="n">
        <v>17.1</v>
      </c>
      <c r="R55" t="n">
        <v>126.5</v>
      </c>
      <c r="S55" t="inlineStr">
        <is>
          <t>good</t>
        </is>
      </c>
      <c r="T55" t="inlineStr">
        <is>
          <t>results/burgers-ch-lbm/ch_q8_nu_domain_single/2026-09-02/_ce436320/7cc4209a</t>
        </is>
      </c>
    </row>
    <row r="56">
      <c r="A56" t="inlineStr">
        <is>
          <t>CH</t>
        </is>
      </c>
      <c r="B56" t="n">
        <v>8</v>
      </c>
      <c r="C56" t="n">
        <v>0.003</v>
      </c>
      <c r="D56" t="n">
        <v>0.3</v>
      </c>
      <c r="E56" t="n">
        <v>0.1</v>
      </c>
      <c r="F56" t="n">
        <v>512</v>
      </c>
      <c r="G56" t="n">
        <v>100</v>
      </c>
      <c r="H56" t="n">
        <v>0</v>
      </c>
      <c r="I56" t="n">
        <v>16</v>
      </c>
      <c r="J56" t="n">
        <v>8</v>
      </c>
      <c r="K56" t="n">
        <v>512</v>
      </c>
      <c r="L56" t="n">
        <v>1</v>
      </c>
      <c r="M56" t="n">
        <v>0.0006310000000000001</v>
      </c>
      <c r="N56" t="n">
        <v>1</v>
      </c>
      <c r="O56" t="n">
        <v>800</v>
      </c>
      <c r="P56" t="n">
        <v>1024</v>
      </c>
      <c r="Q56" t="n">
        <v>10.2</v>
      </c>
      <c r="R56" t="n">
        <v>127.1</v>
      </c>
      <c r="S56" t="inlineStr">
        <is>
          <t>good</t>
        </is>
      </c>
      <c r="T56" t="inlineStr">
        <is>
          <t>results/burgers-ch-lbm/ch_q8_nu_domain_single/2026-09-02/_ce436320/d784896b</t>
        </is>
      </c>
    </row>
    <row r="57">
      <c r="A57" t="inlineStr">
        <is>
          <t>CH</t>
        </is>
      </c>
      <c r="B57" t="n">
        <v>8</v>
      </c>
      <c r="C57" t="n">
        <v>0.0025</v>
      </c>
      <c r="D57" t="n">
        <v>0.3</v>
      </c>
      <c r="E57" t="n">
        <v>0.1</v>
      </c>
      <c r="F57" t="n">
        <v>512</v>
      </c>
      <c r="G57" t="n">
        <v>120</v>
      </c>
      <c r="H57" t="n">
        <v>0</v>
      </c>
      <c r="I57" t="n">
        <v>16</v>
      </c>
      <c r="J57" t="n">
        <v>8</v>
      </c>
      <c r="K57" t="n">
        <v>512</v>
      </c>
      <c r="L57" t="n">
        <v>1</v>
      </c>
      <c r="M57" t="n">
        <v>0.000899</v>
      </c>
      <c r="N57" t="n">
        <v>1</v>
      </c>
      <c r="O57" t="n">
        <v>800</v>
      </c>
      <c r="P57" t="n">
        <v>1024</v>
      </c>
      <c r="Q57" t="n">
        <v>8.5</v>
      </c>
      <c r="R57" t="n">
        <v>126.7</v>
      </c>
      <c r="S57" t="inlineStr">
        <is>
          <t>good</t>
        </is>
      </c>
      <c r="T57" t="inlineStr">
        <is>
          <t>results/burgers-ch-lbm/ch_q8_nu_domain_single/2026-09-02/_ce436320/41597ce5</t>
        </is>
      </c>
    </row>
    <row r="58">
      <c r="A58" t="inlineStr">
        <is>
          <t>CH</t>
        </is>
      </c>
      <c r="B58" t="n">
        <v>8</v>
      </c>
      <c r="C58" t="n">
        <v>0.002</v>
      </c>
      <c r="D58" t="n">
        <v>0.3</v>
      </c>
      <c r="E58" t="n">
        <v>0.1</v>
      </c>
      <c r="F58" t="n">
        <v>512</v>
      </c>
      <c r="G58" t="n">
        <v>150</v>
      </c>
      <c r="H58" t="n">
        <v>0</v>
      </c>
      <c r="I58" t="n">
        <v>16</v>
      </c>
      <c r="J58" t="n">
        <v>8</v>
      </c>
      <c r="K58" t="n">
        <v>512</v>
      </c>
      <c r="L58" t="n">
        <v>1</v>
      </c>
      <c r="M58" t="n">
        <v>0.00147</v>
      </c>
      <c r="N58" t="n">
        <v>1</v>
      </c>
      <c r="O58" t="n">
        <v>1280</v>
      </c>
      <c r="P58" t="n">
        <v>1280</v>
      </c>
      <c r="Q58" t="n">
        <v>8.5</v>
      </c>
      <c r="R58" t="n">
        <v>46.8</v>
      </c>
      <c r="S58" t="inlineStr">
        <is>
          <t>good</t>
        </is>
      </c>
      <c r="T58" t="inlineStr">
        <is>
          <t>results/burgers-ch-lbm/ch_q8_nu_domain_single/2026-09-02/_83f4f49e/79da63cf</t>
        </is>
      </c>
    </row>
    <row r="59">
      <c r="A59" t="inlineStr">
        <is>
          <t>CH</t>
        </is>
      </c>
      <c r="B59" t="n">
        <v>8</v>
      </c>
      <c r="C59" t="n">
        <v>0.0015</v>
      </c>
      <c r="D59" t="n">
        <v>0.3</v>
      </c>
      <c r="E59" t="n">
        <v>0.1</v>
      </c>
      <c r="F59" t="n">
        <v>512</v>
      </c>
      <c r="G59" t="n">
        <v>200</v>
      </c>
      <c r="H59" t="n">
        <v>0</v>
      </c>
      <c r="I59" t="n">
        <v>16</v>
      </c>
      <c r="J59" t="n">
        <v>8</v>
      </c>
      <c r="K59" t="n">
        <v>512</v>
      </c>
      <c r="L59" t="n">
        <v>1</v>
      </c>
      <c r="M59" t="n">
        <v>0.231629</v>
      </c>
      <c r="N59" t="n">
        <v>0.9729</v>
      </c>
      <c r="O59" t="n">
        <v>1536</v>
      </c>
      <c r="P59" t="n">
        <v>1536</v>
      </c>
      <c r="Q59" t="n">
        <v>7.7</v>
      </c>
      <c r="R59" t="n">
        <v>46.7</v>
      </c>
      <c r="S59" t="inlineStr">
        <is>
          <t>good</t>
        </is>
      </c>
      <c r="T59" t="inlineStr">
        <is>
          <t>results/burgers-ch-lbm/ch_q8_nu_domain_single/2026-09-02/_83f4f49e/8b142d3e</t>
        </is>
      </c>
    </row>
    <row r="60">
      <c r="A60" t="inlineStr">
        <is>
          <t>CH</t>
        </is>
      </c>
      <c r="B60" t="n">
        <v>8</v>
      </c>
      <c r="C60" t="n">
        <v>0.001</v>
      </c>
      <c r="D60" t="n">
        <v>0.3</v>
      </c>
      <c r="E60" t="n">
        <v>0.1</v>
      </c>
      <c r="F60" t="n">
        <v>512</v>
      </c>
      <c r="G60" t="n">
        <v>300</v>
      </c>
      <c r="H60" t="n">
        <v>0</v>
      </c>
      <c r="I60" t="n">
        <v>16</v>
      </c>
      <c r="J60" t="n">
        <v>8</v>
      </c>
      <c r="K60" t="n">
        <v>512</v>
      </c>
      <c r="L60" t="n">
        <v>1</v>
      </c>
      <c r="M60" t="n">
        <v>0.634296</v>
      </c>
      <c r="N60" t="n">
        <v>0.7731</v>
      </c>
      <c r="O60" t="n">
        <v>2048</v>
      </c>
      <c r="P60" t="n">
        <v>2048</v>
      </c>
      <c r="Q60" t="n">
        <v>6.8</v>
      </c>
      <c r="R60" t="n">
        <v>46</v>
      </c>
      <c r="S60" t="inlineStr">
        <is>
          <t>marginal</t>
        </is>
      </c>
      <c r="T60" t="inlineStr">
        <is>
          <t>results/burgers-ch-lbm/ch_q8_nu_domain_single/2026-09-02/_83f4f49e/bf317613</t>
        </is>
      </c>
    </row>
    <row r="61">
      <c r="A61" t="inlineStr">
        <is>
          <t>CH</t>
        </is>
      </c>
      <c r="B61" t="n">
        <v>8</v>
      </c>
      <c r="C61" t="n">
        <v>0.00075</v>
      </c>
      <c r="D61" t="n">
        <v>0.3</v>
      </c>
      <c r="E61" t="n">
        <v>0.1</v>
      </c>
      <c r="F61" t="n">
        <v>512</v>
      </c>
      <c r="G61" t="n">
        <v>400</v>
      </c>
      <c r="H61" t="n">
        <v>0</v>
      </c>
      <c r="I61" t="n">
        <v>16</v>
      </c>
      <c r="J61" t="n">
        <v>8</v>
      </c>
      <c r="K61" t="n">
        <v>512</v>
      </c>
      <c r="L61" t="n">
        <v>1</v>
      </c>
      <c r="M61" t="n">
        <v>0.7766690000000001</v>
      </c>
      <c r="N61" t="n">
        <v>0.6301</v>
      </c>
      <c r="O61" t="n">
        <v>2816</v>
      </c>
      <c r="P61" t="n">
        <v>2816</v>
      </c>
      <c r="Q61" t="n">
        <v>7</v>
      </c>
      <c r="R61" t="n">
        <v>46.7</v>
      </c>
      <c r="S61" t="inlineStr">
        <is>
          <t>marginal</t>
        </is>
      </c>
      <c r="T61" t="inlineStr">
        <is>
          <t>results/burgers-ch-lbm/ch_q8_nu_domain_single/2026-09-02/_83f4f49e/305cbd15</t>
        </is>
      </c>
    </row>
    <row r="62">
      <c r="A62" t="inlineStr">
        <is>
          <t>CH</t>
        </is>
      </c>
      <c r="B62" t="n">
        <v>8</v>
      </c>
      <c r="C62" t="n">
        <v>0.0005</v>
      </c>
      <c r="D62" t="n">
        <v>0.3</v>
      </c>
      <c r="E62" t="n">
        <v>0.1</v>
      </c>
      <c r="F62" t="n">
        <v>512</v>
      </c>
      <c r="G62" t="n">
        <v>600</v>
      </c>
      <c r="H62" t="n">
        <v>0</v>
      </c>
      <c r="I62" t="n">
        <v>16</v>
      </c>
      <c r="J62" t="n">
        <v>8</v>
      </c>
      <c r="K62" t="n">
        <v>512</v>
      </c>
      <c r="L62" t="n">
        <v>1</v>
      </c>
      <c r="M62" t="n">
        <v>3.619276</v>
      </c>
      <c r="N62" t="n">
        <v>0.0663</v>
      </c>
      <c r="O62" t="n">
        <v>4096</v>
      </c>
      <c r="P62" t="n">
        <v>4096</v>
      </c>
      <c r="Q62" t="n">
        <v>6.8</v>
      </c>
      <c r="R62" t="n">
        <v>46.6</v>
      </c>
      <c r="S62" t="inlineStr">
        <is>
          <t>diverged</t>
        </is>
      </c>
      <c r="T62" t="inlineStr">
        <is>
          <t>results/burgers-ch-lbm/ch_q8_nu_domain_single/2026-09-02/_83f4f49e/ce4bd185</t>
        </is>
      </c>
    </row>
    <row r="63">
      <c r="A63" t="inlineStr">
        <is>
          <t>CH</t>
        </is>
      </c>
      <c r="B63" t="n">
        <v>8</v>
      </c>
      <c r="C63" t="n">
        <v>0.0004</v>
      </c>
      <c r="D63" t="n">
        <v>0.3</v>
      </c>
      <c r="E63" t="n">
        <v>0.1</v>
      </c>
      <c r="F63" t="n">
        <v>512</v>
      </c>
      <c r="G63" t="n">
        <v>750</v>
      </c>
      <c r="H63" t="n">
        <v>0</v>
      </c>
      <c r="I63" t="n">
        <v>16</v>
      </c>
      <c r="J63" t="n">
        <v>8</v>
      </c>
      <c r="K63" t="n">
        <v>512</v>
      </c>
      <c r="L63" t="n">
        <v>1</v>
      </c>
      <c r="M63" t="n">
        <v>3.693238</v>
      </c>
      <c r="N63" t="n">
        <v>0.0486</v>
      </c>
      <c r="O63" t="n">
        <v>5120</v>
      </c>
      <c r="P63" t="n">
        <v>5120</v>
      </c>
      <c r="Q63" t="n">
        <v>6.8</v>
      </c>
      <c r="R63" t="n">
        <v>127.2</v>
      </c>
      <c r="S63" t="inlineStr">
        <is>
          <t>diverged</t>
        </is>
      </c>
      <c r="T63" t="inlineStr">
        <is>
          <t>results/burgers-ch-lbm/ch_q8_nu_domain_single/2026-09-02/_c2442f4c/6f487a2c</t>
        </is>
      </c>
    </row>
    <row r="64">
      <c r="A64" t="inlineStr">
        <is>
          <t>CH</t>
        </is>
      </c>
      <c r="B64" t="n">
        <v>8</v>
      </c>
      <c r="C64" t="n">
        <v>0.0003</v>
      </c>
      <c r="D64" t="n">
        <v>0.3</v>
      </c>
      <c r="E64" t="n">
        <v>0.1</v>
      </c>
      <c r="F64" t="n">
        <v>512</v>
      </c>
      <c r="G64" t="n">
        <v>1000</v>
      </c>
      <c r="H64" t="n">
        <v>0</v>
      </c>
      <c r="I64" t="n">
        <v>16</v>
      </c>
      <c r="J64" t="n">
        <v>8</v>
      </c>
      <c r="K64" t="n">
        <v>512</v>
      </c>
      <c r="L64" t="n">
        <v>1</v>
      </c>
      <c r="M64" t="n">
        <v>4.090417</v>
      </c>
      <c r="N64" t="n">
        <v>0.033</v>
      </c>
      <c r="O64" t="n">
        <v>6912</v>
      </c>
      <c r="P64" t="n">
        <v>6912</v>
      </c>
      <c r="Q64" t="n">
        <v>6.9</v>
      </c>
      <c r="R64" t="n">
        <v>126.7</v>
      </c>
      <c r="S64" t="inlineStr">
        <is>
          <t>diverged</t>
        </is>
      </c>
      <c r="T64" t="inlineStr">
        <is>
          <t>results/burgers-ch-lbm/ch_q8_nu_domain_single/2026-09-02/_c2442f4c/17f17789</t>
        </is>
      </c>
    </row>
    <row r="65">
      <c r="A65" t="inlineStr">
        <is>
          <t>CH</t>
        </is>
      </c>
      <c r="B65" t="n">
        <v>8</v>
      </c>
      <c r="C65" t="n">
        <v>0.00025</v>
      </c>
      <c r="D65" t="n">
        <v>0.3</v>
      </c>
      <c r="E65" t="n">
        <v>0.1</v>
      </c>
      <c r="F65" t="n">
        <v>512</v>
      </c>
      <c r="G65" t="n">
        <v>1200</v>
      </c>
      <c r="H65" t="n">
        <v>0</v>
      </c>
      <c r="I65" t="n">
        <v>16</v>
      </c>
      <c r="J65" t="n">
        <v>8</v>
      </c>
      <c r="K65" t="n">
        <v>512</v>
      </c>
      <c r="L65" t="n">
        <v>1</v>
      </c>
      <c r="M65" t="n">
        <v>3.460696</v>
      </c>
      <c r="N65" t="n">
        <v>0.0289</v>
      </c>
      <c r="O65" t="n">
        <v>8192</v>
      </c>
      <c r="P65" t="n">
        <v>8192</v>
      </c>
      <c r="Q65" t="n">
        <v>6.8</v>
      </c>
      <c r="R65" t="n">
        <v>129.6</v>
      </c>
      <c r="S65" t="inlineStr">
        <is>
          <t>diverged</t>
        </is>
      </c>
      <c r="T65" t="inlineStr">
        <is>
          <t>results/burgers-ch-lbm/ch_q8_nu_domain_single/2026-09-02/_c2442f4c/dd4ce212</t>
        </is>
      </c>
    </row>
    <row r="66">
      <c r="A66" t="inlineStr">
        <is>
          <t>CH</t>
        </is>
      </c>
      <c r="B66" t="n">
        <v>8</v>
      </c>
      <c r="C66" t="n">
        <v>0.0002</v>
      </c>
      <c r="D66" t="n">
        <v>0.3</v>
      </c>
      <c r="E66" t="n">
        <v>0.1</v>
      </c>
      <c r="F66" t="n">
        <v>512</v>
      </c>
      <c r="G66" t="n">
        <v>1500</v>
      </c>
      <c r="H66" t="n">
        <v>0</v>
      </c>
      <c r="I66" t="n">
        <v>16</v>
      </c>
      <c r="J66" t="n">
        <v>8</v>
      </c>
      <c r="K66" t="n">
        <v>512</v>
      </c>
      <c r="L66" t="n">
        <v>1</v>
      </c>
      <c r="M66" t="n">
        <v>3.322622</v>
      </c>
      <c r="N66" t="n">
        <v>0.0251</v>
      </c>
      <c r="O66" t="n">
        <v>10240</v>
      </c>
      <c r="P66" t="n">
        <v>10240</v>
      </c>
      <c r="Q66" t="n">
        <v>6.8</v>
      </c>
      <c r="R66" t="n">
        <v>127.9</v>
      </c>
      <c r="S66" t="inlineStr">
        <is>
          <t>diverged</t>
        </is>
      </c>
      <c r="T66" t="inlineStr">
        <is>
          <t>results/burgers-ch-lbm/ch_q8_nu_domain_single/2026-09-02/_c2442f4c/c3cab13a</t>
        </is>
      </c>
    </row>
    <row r="67">
      <c r="A67" t="inlineStr">
        <is>
          <t>CH</t>
        </is>
      </c>
      <c r="B67" t="n">
        <v>8</v>
      </c>
      <c r="C67" t="n">
        <v>0.00015</v>
      </c>
      <c r="D67" t="n">
        <v>0.3</v>
      </c>
      <c r="E67" t="n">
        <v>0.1</v>
      </c>
      <c r="F67" t="n">
        <v>512</v>
      </c>
      <c r="G67" t="n">
        <v>2000</v>
      </c>
      <c r="H67" t="n">
        <v>0</v>
      </c>
      <c r="I67" t="n">
        <v>16</v>
      </c>
      <c r="J67" t="n">
        <v>8</v>
      </c>
      <c r="K67" t="n">
        <v>512</v>
      </c>
      <c r="L67" t="n">
        <v>1</v>
      </c>
      <c r="M67" t="n">
        <v>2.609227</v>
      </c>
      <c r="N67" t="n">
        <v>0.0209</v>
      </c>
      <c r="O67" t="n">
        <v>13568</v>
      </c>
      <c r="P67" t="n">
        <v>13568</v>
      </c>
      <c r="Q67" t="n">
        <v>6.8</v>
      </c>
      <c r="R67" t="n">
        <v>128</v>
      </c>
      <c r="S67" t="inlineStr">
        <is>
          <t>diverged</t>
        </is>
      </c>
      <c r="T67" t="inlineStr">
        <is>
          <t>results/burgers-ch-lbm/ch_q8_nu_domain_single/2026-09-02/_c2442f4c/22778859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2026-08-23T19:57:25Z</dcterms:created>
  <dcterms:modified xsi:type="dcterms:W3CDTF">2026-09-03T04:48:48Z</dcterms:modified>
  <cp:lastModifiedBy>Gallo, Andrew (GE Aerospace, US)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3b68801-e10f-48d9-9ed4-5d8b7b3ccbcf_Enabled" fmtid="{D5CDD505-2E9C-101B-9397-08002B2CF9AE}" pid="2">
    <vt:lpwstr>true</vt:lpwstr>
  </property>
  <property name="MSIP_Label_93b68801-e10f-48d9-9ed4-5d8b7b3ccbcf_SetDate" fmtid="{D5CDD505-2E9C-101B-9397-08002B2CF9AE}" pid="3">
    <vt:lpwstr>2026-08-23T19:38:54Z</vt:lpwstr>
  </property>
  <property name="MSIP_Label_93b68801-e10f-48d9-9ed4-5d8b7b3ccbcf_Method" fmtid="{D5CDD505-2E9C-101B-9397-08002B2CF9AE}" pid="4">
    <vt:lpwstr>Standard</vt:lpwstr>
  </property>
  <property name="MSIP_Label_93b68801-e10f-48d9-9ed4-5d8b7b3ccbcf_Name" fmtid="{D5CDD505-2E9C-101B-9397-08002B2CF9AE}" pid="5">
    <vt:lpwstr>GE Aerospace - Sensitive</vt:lpwstr>
  </property>
  <property name="MSIP_Label_93b68801-e10f-48d9-9ed4-5d8b7b3ccbcf_SiteId" fmtid="{D5CDD505-2E9C-101B-9397-08002B2CF9AE}" pid="6">
    <vt:lpwstr>86b871ed-f0e7-4126-9bf4-5ee5cf19e256</vt:lpwstr>
  </property>
  <property name="MSIP_Label_93b68801-e10f-48d9-9ed4-5d8b7b3ccbcf_ActionId" fmtid="{D5CDD505-2E9C-101B-9397-08002B2CF9AE}" pid="7">
    <vt:lpwstr>c79a836c-46a2-4e38-ace3-8461424e3eb5</vt:lpwstr>
  </property>
  <property name="MSIP_Label_93b68801-e10f-48d9-9ed4-5d8b7b3ccbcf_ContentBits" fmtid="{D5CDD505-2E9C-101B-9397-08002B2CF9AE}" pid="8">
    <vt:lpwstr>0</vt:lpwstr>
  </property>
  <property name="MSIP_Label_93b68801-e10f-48d9-9ed4-5d8b7b3ccbcf_Tag" fmtid="{D5CDD505-2E9C-101B-9397-08002B2CF9AE}" pid="9">
    <vt:lpwstr>50, 3, 0, 1</vt:lpwstr>
  </property>
</Properties>
</file>